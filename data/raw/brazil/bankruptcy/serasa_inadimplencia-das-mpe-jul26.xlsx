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dicadores\Séries Históricas\Site\"/>
    </mc:Choice>
  </mc:AlternateContent>
  <xr:revisionPtr revIDLastSave="0" documentId="13_ncr:1_{0BFB235B-4F72-4210-BD73-AAAA996308FD}" xr6:coauthVersionLast="47" xr6:coauthVersionMax="47" xr10:uidLastSave="{00000000-0000-0000-0000-000000000000}"/>
  <bookViews>
    <workbookView xWindow="-110" yWindow="-110" windowWidth="19420" windowHeight="10300" tabRatio="668" xr2:uid="{00000000-000D-0000-FFFF-FFFF00000000}"/>
  </bookViews>
  <sheets>
    <sheet name="Geral" sheetId="1" r:id="rId1"/>
    <sheet name="Partic%" sheetId="2" r:id="rId2"/>
    <sheet name="Var.Mensal" sheetId="3" r:id="rId3"/>
    <sheet name="Var. Anual" sheetId="4" r:id="rId4"/>
    <sheet name="UF Geral" sheetId="16" r:id="rId5"/>
    <sheet name="UF Part%" sheetId="17" r:id="rId6"/>
    <sheet name="UF Var.Mensal" sheetId="18" r:id="rId7"/>
    <sheet name="UF Var.Anual" sheetId="1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4" i="19" l="1"/>
  <c r="C34" i="19"/>
  <c r="D34" i="19"/>
  <c r="E34" i="19"/>
  <c r="F34" i="19"/>
  <c r="G34" i="19"/>
  <c r="H34" i="19"/>
  <c r="I34" i="19"/>
  <c r="J34" i="19"/>
  <c r="K34" i="19"/>
  <c r="L34" i="19"/>
  <c r="M34" i="19"/>
  <c r="N34" i="19"/>
  <c r="O34" i="19"/>
  <c r="P34" i="19"/>
  <c r="Q34" i="19"/>
  <c r="R34" i="19"/>
  <c r="S34" i="19"/>
  <c r="T34" i="19"/>
  <c r="U34" i="19"/>
  <c r="V34" i="19"/>
  <c r="W34" i="19"/>
  <c r="X34" i="19"/>
  <c r="Y34" i="19"/>
  <c r="Z34" i="19"/>
  <c r="AA34" i="19"/>
  <c r="AB34" i="19"/>
  <c r="AC34" i="19"/>
  <c r="B34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B35" i="2"/>
  <c r="C35" i="2"/>
  <c r="D35" i="2"/>
  <c r="E35" i="2"/>
  <c r="F35" i="2"/>
  <c r="G35" i="2"/>
  <c r="H35" i="2"/>
  <c r="I35" i="2"/>
  <c r="J35" i="2"/>
  <c r="K35" i="2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B35" i="4"/>
  <c r="C35" i="4"/>
  <c r="D35" i="4"/>
  <c r="E35" i="4"/>
  <c r="F35" i="4"/>
  <c r="G35" i="4"/>
  <c r="H35" i="4"/>
  <c r="I35" i="4"/>
  <c r="J35" i="4"/>
  <c r="K35" i="4"/>
  <c r="B35" i="3"/>
  <c r="C35" i="3"/>
  <c r="D35" i="3"/>
  <c r="E35" i="3"/>
  <c r="F35" i="3"/>
  <c r="G35" i="3"/>
  <c r="H35" i="3"/>
  <c r="I35" i="3"/>
  <c r="J35" i="3"/>
  <c r="K35" i="3"/>
  <c r="B34" i="2"/>
  <c r="C34" i="2"/>
  <c r="D34" i="2"/>
  <c r="E34" i="2"/>
  <c r="F34" i="2"/>
  <c r="G34" i="2"/>
  <c r="H34" i="2"/>
  <c r="I34" i="2"/>
  <c r="J34" i="2"/>
  <c r="K34" i="2"/>
  <c r="B33" i="19"/>
  <c r="C33" i="19"/>
  <c r="D33" i="19"/>
  <c r="E33" i="19"/>
  <c r="F33" i="19"/>
  <c r="G33" i="19"/>
  <c r="H33" i="19"/>
  <c r="I33" i="19"/>
  <c r="J33" i="19"/>
  <c r="K33" i="19"/>
  <c r="L33" i="19"/>
  <c r="M33" i="19"/>
  <c r="N33" i="19"/>
  <c r="O33" i="19"/>
  <c r="P33" i="19"/>
  <c r="Q33" i="19"/>
  <c r="R33" i="19"/>
  <c r="S33" i="19"/>
  <c r="T33" i="19"/>
  <c r="U33" i="19"/>
  <c r="V33" i="19"/>
  <c r="W33" i="19"/>
  <c r="X33" i="19"/>
  <c r="Y33" i="19"/>
  <c r="Z33" i="19"/>
  <c r="AA33" i="19"/>
  <c r="AB33" i="19"/>
  <c r="AC33" i="19"/>
  <c r="B33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Y33" i="17"/>
  <c r="Z33" i="17"/>
  <c r="AA33" i="17"/>
  <c r="AB33" i="17"/>
  <c r="AC33" i="17"/>
  <c r="B34" i="4"/>
  <c r="C34" i="4"/>
  <c r="D34" i="4"/>
  <c r="E34" i="4"/>
  <c r="F34" i="4"/>
  <c r="G34" i="4"/>
  <c r="H34" i="4"/>
  <c r="I34" i="4"/>
  <c r="J34" i="4"/>
  <c r="K34" i="4"/>
  <c r="B34" i="3"/>
  <c r="C34" i="3"/>
  <c r="D34" i="3"/>
  <c r="E34" i="3"/>
  <c r="F34" i="3"/>
  <c r="G34" i="3"/>
  <c r="H34" i="3"/>
  <c r="I34" i="3"/>
  <c r="J34" i="3"/>
  <c r="K34" i="3"/>
  <c r="B33" i="2"/>
  <c r="C33" i="2"/>
  <c r="D33" i="2"/>
  <c r="E33" i="2"/>
  <c r="F33" i="2"/>
  <c r="G33" i="2"/>
  <c r="H33" i="2"/>
  <c r="I33" i="2"/>
  <c r="J33" i="2"/>
  <c r="K33" i="2"/>
  <c r="B32" i="19"/>
  <c r="C32" i="19"/>
  <c r="D32" i="19"/>
  <c r="E32" i="19"/>
  <c r="F32" i="19"/>
  <c r="G32" i="19"/>
  <c r="H32" i="19"/>
  <c r="I32" i="19"/>
  <c r="J32" i="19"/>
  <c r="K32" i="19"/>
  <c r="L32" i="19"/>
  <c r="M32" i="19"/>
  <c r="N32" i="19"/>
  <c r="O32" i="19"/>
  <c r="P32" i="19"/>
  <c r="Q32" i="19"/>
  <c r="R32" i="19"/>
  <c r="S32" i="19"/>
  <c r="T32" i="19"/>
  <c r="U32" i="19"/>
  <c r="V32" i="19"/>
  <c r="W32" i="19"/>
  <c r="X32" i="19"/>
  <c r="Y32" i="19"/>
  <c r="Z32" i="19"/>
  <c r="AA32" i="19"/>
  <c r="AB32" i="19"/>
  <c r="AC32" i="19"/>
  <c r="B32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B33" i="4"/>
  <c r="C33" i="4"/>
  <c r="D33" i="4"/>
  <c r="E33" i="4"/>
  <c r="F33" i="4"/>
  <c r="G33" i="4"/>
  <c r="H33" i="4"/>
  <c r="I33" i="4"/>
  <c r="J33" i="4"/>
  <c r="K33" i="4"/>
  <c r="B33" i="3"/>
  <c r="C33" i="3"/>
  <c r="D33" i="3"/>
  <c r="E33" i="3"/>
  <c r="F33" i="3"/>
  <c r="G33" i="3"/>
  <c r="H33" i="3"/>
  <c r="I33" i="3"/>
  <c r="J33" i="3"/>
  <c r="K33" i="3"/>
  <c r="B31" i="19"/>
  <c r="C31" i="19"/>
  <c r="D31" i="19"/>
  <c r="E31" i="19"/>
  <c r="F31" i="19"/>
  <c r="G31" i="19"/>
  <c r="H31" i="19"/>
  <c r="I31" i="19"/>
  <c r="J31" i="19"/>
  <c r="K31" i="19"/>
  <c r="L31" i="19"/>
  <c r="M31" i="19"/>
  <c r="N31" i="19"/>
  <c r="O31" i="19"/>
  <c r="P31" i="19"/>
  <c r="Q31" i="19"/>
  <c r="R31" i="19"/>
  <c r="S31" i="19"/>
  <c r="T31" i="19"/>
  <c r="U31" i="19"/>
  <c r="V31" i="19"/>
  <c r="W31" i="19"/>
  <c r="X31" i="19"/>
  <c r="Y31" i="19"/>
  <c r="Z31" i="19"/>
  <c r="AA31" i="19"/>
  <c r="AB31" i="19"/>
  <c r="AC31" i="19"/>
  <c r="B31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B32" i="4"/>
  <c r="C32" i="4"/>
  <c r="D32" i="4"/>
  <c r="E32" i="4"/>
  <c r="F32" i="4"/>
  <c r="G32" i="4"/>
  <c r="H32" i="4"/>
  <c r="I32" i="4"/>
  <c r="J32" i="4"/>
  <c r="K32" i="4"/>
  <c r="B32" i="3"/>
  <c r="C32" i="3"/>
  <c r="D32" i="3"/>
  <c r="E32" i="3"/>
  <c r="F32" i="3"/>
  <c r="G32" i="3"/>
  <c r="H32" i="3"/>
  <c r="I32" i="3"/>
  <c r="J32" i="3"/>
  <c r="K32" i="3"/>
  <c r="B32" i="2"/>
  <c r="C32" i="2"/>
  <c r="D32" i="2"/>
  <c r="E32" i="2"/>
  <c r="F32" i="2"/>
  <c r="G32" i="2"/>
  <c r="H32" i="2"/>
  <c r="I32" i="2"/>
  <c r="J32" i="2"/>
  <c r="K32" i="2"/>
  <c r="B30" i="19"/>
  <c r="C30" i="19"/>
  <c r="D30" i="19"/>
  <c r="E30" i="19"/>
  <c r="F30" i="19"/>
  <c r="G30" i="19"/>
  <c r="H30" i="19"/>
  <c r="I30" i="19"/>
  <c r="J30" i="19"/>
  <c r="K30" i="19"/>
  <c r="L30" i="19"/>
  <c r="M30" i="19"/>
  <c r="N30" i="19"/>
  <c r="O30" i="19"/>
  <c r="P30" i="19"/>
  <c r="Q30" i="19"/>
  <c r="R30" i="19"/>
  <c r="S30" i="19"/>
  <c r="T30" i="19"/>
  <c r="U30" i="19"/>
  <c r="V30" i="19"/>
  <c r="W30" i="19"/>
  <c r="X30" i="19"/>
  <c r="Y30" i="19"/>
  <c r="Z30" i="19"/>
  <c r="AA30" i="19"/>
  <c r="AB30" i="19"/>
  <c r="AC30" i="19"/>
  <c r="B30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B31" i="4"/>
  <c r="C31" i="4"/>
  <c r="D31" i="4"/>
  <c r="E31" i="4"/>
  <c r="F31" i="4"/>
  <c r="G31" i="4"/>
  <c r="H31" i="4"/>
  <c r="I31" i="4"/>
  <c r="J31" i="4"/>
  <c r="K31" i="4"/>
  <c r="B31" i="3"/>
  <c r="C31" i="3"/>
  <c r="D31" i="3"/>
  <c r="E31" i="3"/>
  <c r="F31" i="3"/>
  <c r="G31" i="3"/>
  <c r="H31" i="3"/>
  <c r="I31" i="3"/>
  <c r="J31" i="3"/>
  <c r="K31" i="3"/>
  <c r="B31" i="2"/>
  <c r="C31" i="2"/>
  <c r="D31" i="2"/>
  <c r="E31" i="2"/>
  <c r="F31" i="2"/>
  <c r="G31" i="2"/>
  <c r="H31" i="2"/>
  <c r="I31" i="2"/>
  <c r="J31" i="2"/>
  <c r="K31" i="2"/>
  <c r="B29" i="19"/>
  <c r="C29" i="19"/>
  <c r="D29" i="19"/>
  <c r="E29" i="19"/>
  <c r="F29" i="19"/>
  <c r="G29" i="19"/>
  <c r="H29" i="19"/>
  <c r="I29" i="19"/>
  <c r="J29" i="19"/>
  <c r="K29" i="19"/>
  <c r="L29" i="19"/>
  <c r="M29" i="19"/>
  <c r="N29" i="19"/>
  <c r="O29" i="19"/>
  <c r="P29" i="19"/>
  <c r="Q29" i="19"/>
  <c r="R29" i="19"/>
  <c r="S29" i="19"/>
  <c r="T29" i="19"/>
  <c r="U29" i="19"/>
  <c r="V29" i="19"/>
  <c r="W29" i="19"/>
  <c r="X29" i="19"/>
  <c r="Y29" i="19"/>
  <c r="Z29" i="19"/>
  <c r="AA29" i="19"/>
  <c r="AB29" i="19"/>
  <c r="AC29" i="19"/>
  <c r="B29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B30" i="4"/>
  <c r="C30" i="4"/>
  <c r="D30" i="4"/>
  <c r="E30" i="4"/>
  <c r="F30" i="4"/>
  <c r="G30" i="4"/>
  <c r="H30" i="4"/>
  <c r="I30" i="4"/>
  <c r="J30" i="4"/>
  <c r="K30" i="4"/>
  <c r="B30" i="3"/>
  <c r="C30" i="3"/>
  <c r="D30" i="3"/>
  <c r="E30" i="3"/>
  <c r="F30" i="3"/>
  <c r="G30" i="3"/>
  <c r="H30" i="3"/>
  <c r="I30" i="3"/>
  <c r="J30" i="3"/>
  <c r="K30" i="3"/>
  <c r="B30" i="2"/>
  <c r="C30" i="2"/>
  <c r="D30" i="2"/>
  <c r="E30" i="2"/>
  <c r="F30" i="2"/>
  <c r="G30" i="2"/>
  <c r="H30" i="2"/>
  <c r="I30" i="2"/>
  <c r="J30" i="2"/>
  <c r="K30" i="2"/>
  <c r="B28" i="19" l="1"/>
  <c r="C28" i="19"/>
  <c r="D28" i="19"/>
  <c r="E28" i="19"/>
  <c r="F28" i="19"/>
  <c r="G28" i="19"/>
  <c r="H28" i="19"/>
  <c r="I28" i="19"/>
  <c r="J28" i="19"/>
  <c r="K28" i="19"/>
  <c r="L28" i="19"/>
  <c r="M28" i="19"/>
  <c r="N28" i="19"/>
  <c r="O28" i="19"/>
  <c r="P28" i="19"/>
  <c r="Q28" i="19"/>
  <c r="R28" i="19"/>
  <c r="S28" i="19"/>
  <c r="T28" i="19"/>
  <c r="U28" i="19"/>
  <c r="V28" i="19"/>
  <c r="W28" i="19"/>
  <c r="X28" i="19"/>
  <c r="Y28" i="19"/>
  <c r="Z28" i="19"/>
  <c r="AA28" i="19"/>
  <c r="AB28" i="19"/>
  <c r="AC28" i="19"/>
  <c r="B28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39" i="16"/>
  <c r="A37" i="16"/>
  <c r="B29" i="4"/>
  <c r="C29" i="4"/>
  <c r="D29" i="4"/>
  <c r="E29" i="4"/>
  <c r="F29" i="4"/>
  <c r="G29" i="4"/>
  <c r="H29" i="4"/>
  <c r="I29" i="4"/>
  <c r="J29" i="4"/>
  <c r="K29" i="4"/>
  <c r="A29" i="4"/>
  <c r="A28" i="16" s="1"/>
  <c r="A30" i="4"/>
  <c r="A29" i="16" s="1"/>
  <c r="A31" i="4"/>
  <c r="A30" i="16" s="1"/>
  <c r="A32" i="4"/>
  <c r="A31" i="16" s="1"/>
  <c r="A33" i="4"/>
  <c r="A32" i="16" s="1"/>
  <c r="A34" i="4"/>
  <c r="A33" i="16" s="1"/>
  <c r="A35" i="4"/>
  <c r="A34" i="16" s="1"/>
  <c r="A36" i="4"/>
  <c r="A35" i="16" s="1"/>
  <c r="A37" i="4"/>
  <c r="A36" i="16" s="1"/>
  <c r="A38" i="4"/>
  <c r="A39" i="4"/>
  <c r="A38" i="16" s="1"/>
  <c r="A40" i="4"/>
  <c r="B29" i="3"/>
  <c r="C29" i="3"/>
  <c r="D29" i="3"/>
  <c r="E29" i="3"/>
  <c r="F29" i="3"/>
  <c r="G29" i="3"/>
  <c r="H29" i="3"/>
  <c r="I29" i="3"/>
  <c r="J29" i="3"/>
  <c r="K29" i="3"/>
  <c r="A39" i="3"/>
  <c r="A40" i="3"/>
  <c r="A29" i="3"/>
  <c r="A30" i="3"/>
  <c r="A31" i="3"/>
  <c r="A32" i="3"/>
  <c r="A33" i="3"/>
  <c r="A34" i="3"/>
  <c r="A35" i="3"/>
  <c r="A36" i="3"/>
  <c r="A37" i="3"/>
  <c r="A38" i="3"/>
  <c r="B29" i="2"/>
  <c r="C29" i="2"/>
  <c r="D29" i="2"/>
  <c r="E29" i="2"/>
  <c r="F29" i="2"/>
  <c r="G29" i="2"/>
  <c r="H29" i="2"/>
  <c r="I29" i="2"/>
  <c r="J29" i="2"/>
  <c r="K29" i="2"/>
  <c r="A29" i="2"/>
  <c r="A30" i="2"/>
  <c r="A31" i="2"/>
  <c r="A32" i="2"/>
  <c r="A33" i="2"/>
  <c r="A34" i="2"/>
  <c r="A35" i="2"/>
  <c r="A36" i="2"/>
  <c r="A37" i="2"/>
  <c r="A38" i="2"/>
  <c r="A39" i="2"/>
  <c r="A40" i="2"/>
  <c r="A36" i="19" l="1"/>
  <c r="A31" i="18"/>
  <c r="A31" i="17"/>
  <c r="A34" i="17"/>
  <c r="A34" i="18"/>
  <c r="A34" i="19"/>
  <c r="A33" i="17"/>
  <c r="A33" i="18"/>
  <c r="A33" i="19"/>
  <c r="A30" i="18"/>
  <c r="A30" i="19"/>
  <c r="A30" i="17"/>
  <c r="A29" i="19"/>
  <c r="A29" i="17"/>
  <c r="A29" i="18"/>
  <c r="A28" i="19"/>
  <c r="A28" i="18"/>
  <c r="A28" i="17"/>
  <c r="A38" i="18"/>
  <c r="A38" i="17"/>
  <c r="A38" i="19"/>
  <c r="A39" i="19"/>
  <c r="A39" i="18"/>
  <c r="A37" i="19"/>
  <c r="A39" i="17"/>
  <c r="A37" i="18"/>
  <c r="A35" i="19"/>
  <c r="A36" i="18"/>
  <c r="A37" i="17"/>
  <c r="A35" i="18"/>
  <c r="A36" i="17"/>
  <c r="A32" i="19"/>
  <c r="A35" i="17"/>
  <c r="A31" i="19"/>
  <c r="A32" i="18"/>
  <c r="A32" i="17"/>
  <c r="B27" i="19"/>
  <c r="C27" i="19"/>
  <c r="D27" i="19"/>
  <c r="E27" i="19"/>
  <c r="F27" i="19"/>
  <c r="G27" i="19"/>
  <c r="H27" i="19"/>
  <c r="I27" i="19"/>
  <c r="J27" i="19"/>
  <c r="K27" i="19"/>
  <c r="L27" i="19"/>
  <c r="M27" i="19"/>
  <c r="N27" i="19"/>
  <c r="O27" i="19"/>
  <c r="P27" i="19"/>
  <c r="Q27" i="19"/>
  <c r="R27" i="19"/>
  <c r="S27" i="19"/>
  <c r="T27" i="19"/>
  <c r="U27" i="19"/>
  <c r="V27" i="19"/>
  <c r="W27" i="19"/>
  <c r="X27" i="19"/>
  <c r="Y27" i="19"/>
  <c r="Z27" i="19"/>
  <c r="AA27" i="19"/>
  <c r="AB27" i="19"/>
  <c r="AC27" i="19"/>
  <c r="B27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B28" i="4"/>
  <c r="C28" i="4"/>
  <c r="D28" i="4"/>
  <c r="E28" i="4"/>
  <c r="F28" i="4"/>
  <c r="G28" i="4"/>
  <c r="H28" i="4"/>
  <c r="I28" i="4"/>
  <c r="J28" i="4"/>
  <c r="K28" i="4"/>
  <c r="B28" i="3"/>
  <c r="C28" i="3"/>
  <c r="D28" i="3"/>
  <c r="E28" i="3"/>
  <c r="F28" i="3"/>
  <c r="G28" i="3"/>
  <c r="H28" i="3"/>
  <c r="I28" i="3"/>
  <c r="J28" i="3"/>
  <c r="K28" i="3"/>
  <c r="B28" i="2"/>
  <c r="C28" i="2"/>
  <c r="D28" i="2"/>
  <c r="E28" i="2"/>
  <c r="F28" i="2"/>
  <c r="G28" i="2"/>
  <c r="H28" i="2"/>
  <c r="I28" i="2"/>
  <c r="J28" i="2"/>
  <c r="K28" i="2"/>
  <c r="B26" i="19"/>
  <c r="C26" i="19"/>
  <c r="D26" i="19"/>
  <c r="E26" i="19"/>
  <c r="F26" i="19"/>
  <c r="G26" i="19"/>
  <c r="H26" i="19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B26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B27" i="4"/>
  <c r="C27" i="4"/>
  <c r="D27" i="4"/>
  <c r="E27" i="4"/>
  <c r="F27" i="4"/>
  <c r="G27" i="4"/>
  <c r="H27" i="4"/>
  <c r="I27" i="4"/>
  <c r="J27" i="4"/>
  <c r="K27" i="4"/>
  <c r="B27" i="3"/>
  <c r="C27" i="3"/>
  <c r="D27" i="3"/>
  <c r="E27" i="3"/>
  <c r="F27" i="3"/>
  <c r="G27" i="3"/>
  <c r="H27" i="3"/>
  <c r="I27" i="3"/>
  <c r="J27" i="3"/>
  <c r="B27" i="2"/>
  <c r="C27" i="2"/>
  <c r="D27" i="2"/>
  <c r="E27" i="2"/>
  <c r="F27" i="2"/>
  <c r="G27" i="2"/>
  <c r="H27" i="2"/>
  <c r="I27" i="2"/>
  <c r="J27" i="2"/>
  <c r="K27" i="2"/>
  <c r="B25" i="19"/>
  <c r="C25" i="19"/>
  <c r="D25" i="19"/>
  <c r="E25" i="19"/>
  <c r="F25" i="19"/>
  <c r="G25" i="19"/>
  <c r="H25" i="19"/>
  <c r="I25" i="19"/>
  <c r="J25" i="19"/>
  <c r="K25" i="19"/>
  <c r="L25" i="19"/>
  <c r="M25" i="19"/>
  <c r="N25" i="19"/>
  <c r="O25" i="19"/>
  <c r="P25" i="19"/>
  <c r="Q25" i="19"/>
  <c r="R25" i="19"/>
  <c r="S25" i="19"/>
  <c r="T25" i="19"/>
  <c r="U25" i="19"/>
  <c r="V25" i="19"/>
  <c r="W25" i="19"/>
  <c r="X25" i="19"/>
  <c r="Y25" i="19"/>
  <c r="Z25" i="19"/>
  <c r="AA25" i="19"/>
  <c r="AB25" i="19"/>
  <c r="B25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B25" i="17"/>
  <c r="P25" i="17"/>
  <c r="AC25" i="16"/>
  <c r="G25" i="17" s="1"/>
  <c r="B26" i="4"/>
  <c r="C26" i="4"/>
  <c r="D26" i="4"/>
  <c r="E26" i="4"/>
  <c r="F26" i="4"/>
  <c r="G26" i="4"/>
  <c r="H26" i="4"/>
  <c r="I26" i="4"/>
  <c r="J26" i="4"/>
  <c r="B26" i="3"/>
  <c r="C26" i="3"/>
  <c r="D26" i="3"/>
  <c r="E26" i="3"/>
  <c r="F26" i="3"/>
  <c r="G26" i="3"/>
  <c r="H26" i="3"/>
  <c r="I26" i="3"/>
  <c r="J26" i="3"/>
  <c r="K26" i="1"/>
  <c r="H26" i="2" s="1"/>
  <c r="B24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B24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D24" i="17"/>
  <c r="E24" i="17"/>
  <c r="G24" i="17"/>
  <c r="H24" i="17"/>
  <c r="I24" i="17"/>
  <c r="J24" i="17"/>
  <c r="K24" i="17"/>
  <c r="L24" i="17"/>
  <c r="M24" i="17"/>
  <c r="N24" i="17"/>
  <c r="R24" i="17"/>
  <c r="S24" i="17"/>
  <c r="U24" i="17"/>
  <c r="V24" i="17"/>
  <c r="W24" i="17"/>
  <c r="X24" i="17"/>
  <c r="Y24" i="17"/>
  <c r="Z24" i="17"/>
  <c r="AA24" i="17"/>
  <c r="AB24" i="17"/>
  <c r="AC24" i="16"/>
  <c r="F25" i="3"/>
  <c r="K25" i="1"/>
  <c r="D25" i="2" s="1"/>
  <c r="B25" i="3"/>
  <c r="C25" i="3"/>
  <c r="D25" i="3"/>
  <c r="E25" i="3"/>
  <c r="G25" i="3"/>
  <c r="H25" i="3"/>
  <c r="I25" i="3"/>
  <c r="J25" i="3"/>
  <c r="B25" i="4"/>
  <c r="C25" i="4"/>
  <c r="D25" i="4"/>
  <c r="E25" i="4"/>
  <c r="F25" i="4"/>
  <c r="G25" i="4"/>
  <c r="H25" i="4"/>
  <c r="I25" i="4"/>
  <c r="J25" i="4"/>
  <c r="T25" i="17" l="1"/>
  <c r="F25" i="17"/>
  <c r="S25" i="17"/>
  <c r="E25" i="17"/>
  <c r="AC25" i="17"/>
  <c r="AC25" i="18"/>
  <c r="R25" i="17"/>
  <c r="D25" i="17"/>
  <c r="Q25" i="17"/>
  <c r="C25" i="17"/>
  <c r="AA25" i="17"/>
  <c r="N25" i="17"/>
  <c r="T24" i="17"/>
  <c r="F24" i="17"/>
  <c r="Z25" i="17"/>
  <c r="L25" i="17"/>
  <c r="AB25" i="17"/>
  <c r="X25" i="17"/>
  <c r="J25" i="17"/>
  <c r="Q24" i="17"/>
  <c r="C24" i="17"/>
  <c r="W25" i="17"/>
  <c r="I25" i="17"/>
  <c r="M25" i="17"/>
  <c r="K25" i="17"/>
  <c r="P24" i="17"/>
  <c r="V25" i="17"/>
  <c r="O25" i="17"/>
  <c r="AC26" i="18"/>
  <c r="Y25" i="17"/>
  <c r="B24" i="17"/>
  <c r="H25" i="17"/>
  <c r="AC24" i="17"/>
  <c r="O24" i="17"/>
  <c r="AC24" i="18"/>
  <c r="U25" i="17"/>
  <c r="E26" i="2"/>
  <c r="C26" i="2"/>
  <c r="G26" i="2"/>
  <c r="K26" i="4"/>
  <c r="D26" i="2"/>
  <c r="B26" i="2"/>
  <c r="K26" i="3"/>
  <c r="F26" i="2"/>
  <c r="K27" i="3"/>
  <c r="K26" i="2"/>
  <c r="I26" i="2"/>
  <c r="J26" i="2"/>
  <c r="K25" i="2"/>
  <c r="J25" i="2"/>
  <c r="I25" i="2"/>
  <c r="B25" i="2"/>
  <c r="H25" i="2"/>
  <c r="C25" i="2"/>
  <c r="K25" i="4"/>
  <c r="K25" i="3"/>
  <c r="G25" i="2"/>
  <c r="F25" i="2"/>
  <c r="E25" i="2"/>
  <c r="B23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B23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B24" i="4"/>
  <c r="C24" i="4"/>
  <c r="D24" i="4"/>
  <c r="E24" i="4"/>
  <c r="F24" i="4"/>
  <c r="G24" i="4"/>
  <c r="H24" i="4"/>
  <c r="I24" i="4"/>
  <c r="J24" i="4"/>
  <c r="K24" i="4"/>
  <c r="B24" i="3"/>
  <c r="C24" i="3"/>
  <c r="D24" i="3"/>
  <c r="E24" i="3"/>
  <c r="F24" i="3"/>
  <c r="G24" i="3"/>
  <c r="H24" i="3"/>
  <c r="I24" i="3"/>
  <c r="J24" i="3"/>
  <c r="K24" i="3"/>
  <c r="B24" i="2"/>
  <c r="C24" i="2"/>
  <c r="D24" i="2"/>
  <c r="E24" i="2"/>
  <c r="F24" i="2"/>
  <c r="G24" i="2"/>
  <c r="H24" i="2"/>
  <c r="I24" i="2"/>
  <c r="J24" i="2"/>
  <c r="K24" i="2"/>
  <c r="B22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B22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B23" i="4"/>
  <c r="C23" i="4"/>
  <c r="D23" i="4"/>
  <c r="E23" i="4"/>
  <c r="F23" i="4"/>
  <c r="G23" i="4"/>
  <c r="H23" i="4"/>
  <c r="I23" i="4"/>
  <c r="J23" i="4"/>
  <c r="K23" i="4"/>
  <c r="B23" i="3"/>
  <c r="C23" i="3"/>
  <c r="D23" i="3"/>
  <c r="E23" i="3"/>
  <c r="F23" i="3"/>
  <c r="G23" i="3"/>
  <c r="H23" i="3"/>
  <c r="I23" i="3"/>
  <c r="J23" i="3"/>
  <c r="K23" i="3"/>
  <c r="B23" i="2"/>
  <c r="C23" i="2"/>
  <c r="D23" i="2"/>
  <c r="E23" i="2"/>
  <c r="F23" i="2"/>
  <c r="G23" i="2"/>
  <c r="H23" i="2"/>
  <c r="I23" i="2"/>
  <c r="J23" i="2"/>
  <c r="K23" i="2"/>
  <c r="B21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B21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B22" i="4"/>
  <c r="C22" i="4"/>
  <c r="D22" i="4"/>
  <c r="E22" i="4"/>
  <c r="F22" i="4"/>
  <c r="G22" i="4"/>
  <c r="H22" i="4"/>
  <c r="I22" i="4"/>
  <c r="J22" i="4"/>
  <c r="K22" i="4"/>
  <c r="B22" i="3"/>
  <c r="C22" i="3"/>
  <c r="D22" i="3"/>
  <c r="E22" i="3"/>
  <c r="F22" i="3"/>
  <c r="G22" i="3"/>
  <c r="H22" i="3"/>
  <c r="I22" i="3"/>
  <c r="J22" i="3"/>
  <c r="K22" i="3"/>
  <c r="B22" i="2"/>
  <c r="C22" i="2"/>
  <c r="D22" i="2"/>
  <c r="E22" i="2"/>
  <c r="F22" i="2"/>
  <c r="G22" i="2"/>
  <c r="H22" i="2"/>
  <c r="I22" i="2"/>
  <c r="J22" i="2"/>
  <c r="K22" i="2"/>
  <c r="B20" i="19" l="1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B20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B21" i="4"/>
  <c r="C21" i="4"/>
  <c r="D21" i="4"/>
  <c r="E21" i="4"/>
  <c r="F21" i="4"/>
  <c r="G21" i="4"/>
  <c r="H21" i="4"/>
  <c r="I21" i="4"/>
  <c r="J21" i="4"/>
  <c r="K21" i="4"/>
  <c r="B21" i="3"/>
  <c r="C21" i="3"/>
  <c r="D21" i="3"/>
  <c r="E21" i="3"/>
  <c r="F21" i="3"/>
  <c r="G21" i="3"/>
  <c r="H21" i="3"/>
  <c r="I21" i="3"/>
  <c r="J21" i="3"/>
  <c r="K21" i="3"/>
  <c r="B21" i="2"/>
  <c r="C21" i="2"/>
  <c r="D21" i="2"/>
  <c r="E21" i="2"/>
  <c r="F21" i="2"/>
  <c r="G21" i="2"/>
  <c r="H21" i="2"/>
  <c r="I21" i="2"/>
  <c r="J21" i="2"/>
  <c r="K21" i="2"/>
  <c r="B19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B19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B20" i="4"/>
  <c r="C20" i="4"/>
  <c r="D20" i="4"/>
  <c r="E20" i="4"/>
  <c r="F20" i="4"/>
  <c r="G20" i="4"/>
  <c r="H20" i="4"/>
  <c r="I20" i="4"/>
  <c r="J20" i="4"/>
  <c r="K20" i="4"/>
  <c r="B20" i="3"/>
  <c r="C20" i="3"/>
  <c r="D20" i="3"/>
  <c r="E20" i="3"/>
  <c r="F20" i="3"/>
  <c r="G20" i="3"/>
  <c r="H20" i="3"/>
  <c r="I20" i="3"/>
  <c r="J20" i="3"/>
  <c r="K20" i="3"/>
  <c r="B20" i="2"/>
  <c r="C20" i="2"/>
  <c r="D20" i="2"/>
  <c r="E20" i="2"/>
  <c r="F20" i="2"/>
  <c r="G20" i="2"/>
  <c r="H20" i="2"/>
  <c r="I20" i="2"/>
  <c r="J20" i="2"/>
  <c r="K20" i="2"/>
  <c r="B18" i="19" l="1"/>
  <c r="C18" i="19"/>
  <c r="D18" i="19"/>
  <c r="E18" i="19"/>
  <c r="F18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8" i="19"/>
  <c r="T18" i="19"/>
  <c r="U18" i="19"/>
  <c r="V18" i="19"/>
  <c r="W18" i="19"/>
  <c r="X18" i="19"/>
  <c r="Y18" i="19"/>
  <c r="Z18" i="19"/>
  <c r="AA18" i="19"/>
  <c r="AB18" i="19"/>
  <c r="B18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B19" i="4"/>
  <c r="C19" i="4"/>
  <c r="D19" i="4"/>
  <c r="E19" i="4"/>
  <c r="F19" i="4"/>
  <c r="G19" i="4"/>
  <c r="H19" i="4"/>
  <c r="I19" i="4"/>
  <c r="J19" i="4"/>
  <c r="K19" i="4"/>
  <c r="B19" i="3"/>
  <c r="C19" i="3"/>
  <c r="D19" i="3"/>
  <c r="E19" i="3"/>
  <c r="F19" i="3"/>
  <c r="G19" i="3"/>
  <c r="H19" i="3"/>
  <c r="I19" i="3"/>
  <c r="J19" i="3"/>
  <c r="K19" i="3"/>
  <c r="B19" i="2"/>
  <c r="C19" i="2"/>
  <c r="D19" i="2"/>
  <c r="E19" i="2"/>
  <c r="F19" i="2"/>
  <c r="G19" i="2"/>
  <c r="H19" i="2"/>
  <c r="I19" i="2"/>
  <c r="J19" i="2"/>
  <c r="K19" i="2"/>
  <c r="B17" i="19" l="1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AC17" i="19"/>
  <c r="B17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Y17" i="17"/>
  <c r="Z17" i="17"/>
  <c r="AA17" i="17"/>
  <c r="AB17" i="17"/>
  <c r="AC17" i="17"/>
  <c r="B18" i="4"/>
  <c r="C18" i="4"/>
  <c r="D18" i="4"/>
  <c r="E18" i="4"/>
  <c r="F18" i="4"/>
  <c r="G18" i="4"/>
  <c r="H18" i="4"/>
  <c r="I18" i="4"/>
  <c r="J18" i="4"/>
  <c r="K18" i="4"/>
  <c r="B18" i="3"/>
  <c r="C18" i="3"/>
  <c r="D18" i="3"/>
  <c r="E18" i="3"/>
  <c r="F18" i="3"/>
  <c r="G18" i="3"/>
  <c r="H18" i="3"/>
  <c r="I18" i="3"/>
  <c r="J18" i="3"/>
  <c r="K18" i="3"/>
  <c r="B18" i="2"/>
  <c r="C18" i="2"/>
  <c r="D18" i="2"/>
  <c r="E18" i="2"/>
  <c r="F18" i="2"/>
  <c r="G18" i="2"/>
  <c r="H18" i="2"/>
  <c r="I18" i="2"/>
  <c r="J18" i="2"/>
  <c r="K18" i="2"/>
  <c r="A17" i="2" l="1"/>
  <c r="A18" i="2"/>
  <c r="A19" i="2"/>
  <c r="A20" i="2"/>
  <c r="A21" i="2"/>
  <c r="A22" i="2"/>
  <c r="A23" i="2"/>
  <c r="A24" i="2"/>
  <c r="A25" i="2"/>
  <c r="A26" i="2"/>
  <c r="A27" i="2"/>
  <c r="A28" i="2"/>
  <c r="B16" i="19"/>
  <c r="C16" i="19"/>
  <c r="D16" i="19"/>
  <c r="E16" i="19"/>
  <c r="F16" i="19"/>
  <c r="G16" i="19"/>
  <c r="H16" i="19"/>
  <c r="I16" i="19"/>
  <c r="J16" i="19"/>
  <c r="K16" i="19"/>
  <c r="L16" i="19"/>
  <c r="M16" i="19"/>
  <c r="N16" i="19"/>
  <c r="O16" i="19"/>
  <c r="P16" i="19"/>
  <c r="Q16" i="19"/>
  <c r="R16" i="19"/>
  <c r="S16" i="19"/>
  <c r="T16" i="19"/>
  <c r="U16" i="19"/>
  <c r="V16" i="19"/>
  <c r="W16" i="19"/>
  <c r="X16" i="19"/>
  <c r="Y16" i="19"/>
  <c r="Z16" i="19"/>
  <c r="AA16" i="19"/>
  <c r="AB16" i="19"/>
  <c r="B16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18" i="16"/>
  <c r="A18" i="18" s="1"/>
  <c r="A19" i="16"/>
  <c r="A20" i="16"/>
  <c r="A23" i="16"/>
  <c r="A24" i="16"/>
  <c r="A25" i="16"/>
  <c r="A27" i="16"/>
  <c r="A17" i="4"/>
  <c r="A16" i="16" s="1"/>
  <c r="A18" i="4"/>
  <c r="A17" i="16" s="1"/>
  <c r="A19" i="4"/>
  <c r="A20" i="4"/>
  <c r="A21" i="4"/>
  <c r="A22" i="4"/>
  <c r="A21" i="16" s="1"/>
  <c r="A23" i="4"/>
  <c r="A22" i="16" s="1"/>
  <c r="A24" i="4"/>
  <c r="A25" i="4"/>
  <c r="A26" i="4"/>
  <c r="A27" i="4"/>
  <c r="A26" i="16" s="1"/>
  <c r="A28" i="4"/>
  <c r="B17" i="4"/>
  <c r="C17" i="4"/>
  <c r="D17" i="4"/>
  <c r="E17" i="4"/>
  <c r="F17" i="4"/>
  <c r="G17" i="4"/>
  <c r="H17" i="4"/>
  <c r="I17" i="4"/>
  <c r="J17" i="4"/>
  <c r="A17" i="3"/>
  <c r="A18" i="3"/>
  <c r="A19" i="3"/>
  <c r="A20" i="3"/>
  <c r="A21" i="3"/>
  <c r="A22" i="3"/>
  <c r="A23" i="3"/>
  <c r="A24" i="3"/>
  <c r="A25" i="3"/>
  <c r="A26" i="3"/>
  <c r="A27" i="3"/>
  <c r="A28" i="3"/>
  <c r="B17" i="3"/>
  <c r="C17" i="3"/>
  <c r="D17" i="3"/>
  <c r="E17" i="3"/>
  <c r="F17" i="3"/>
  <c r="G17" i="3"/>
  <c r="H17" i="3"/>
  <c r="I17" i="3"/>
  <c r="J17" i="3"/>
  <c r="K17" i="3"/>
  <c r="A19" i="19" l="1"/>
  <c r="A18" i="19"/>
  <c r="A25" i="17"/>
  <c r="A23" i="17"/>
  <c r="A25" i="18"/>
  <c r="A23" i="18"/>
  <c r="A26" i="18"/>
  <c r="A26" i="19"/>
  <c r="A26" i="17"/>
  <c r="A16" i="17"/>
  <c r="A16" i="18"/>
  <c r="A16" i="19"/>
  <c r="A22" i="19"/>
  <c r="A22" i="18"/>
  <c r="A22" i="17"/>
  <c r="A21" i="19"/>
  <c r="A21" i="17"/>
  <c r="A21" i="18"/>
  <c r="A20" i="18"/>
  <c r="A19" i="18"/>
  <c r="A27" i="18"/>
  <c r="A25" i="19"/>
  <c r="A24" i="18"/>
  <c r="A18" i="17"/>
  <c r="A17" i="19"/>
  <c r="A20" i="17"/>
  <c r="A23" i="19"/>
  <c r="A19" i="17"/>
  <c r="A20" i="19"/>
  <c r="A27" i="19"/>
  <c r="A27" i="17"/>
  <c r="A24" i="19"/>
  <c r="A24" i="17"/>
  <c r="A17" i="18"/>
  <c r="A17" i="17"/>
  <c r="B17" i="2"/>
  <c r="C17" i="2"/>
  <c r="D17" i="2"/>
  <c r="E17" i="2"/>
  <c r="F17" i="2"/>
  <c r="G17" i="2"/>
  <c r="H17" i="2"/>
  <c r="I17" i="2"/>
  <c r="J17" i="2"/>
  <c r="K17" i="2"/>
  <c r="B15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Y15" i="17"/>
  <c r="Z15" i="17"/>
  <c r="AA15" i="17"/>
  <c r="AB15" i="17"/>
  <c r="AC15" i="17"/>
  <c r="B16" i="3"/>
  <c r="C16" i="3"/>
  <c r="D16" i="3"/>
  <c r="E16" i="3"/>
  <c r="F16" i="3"/>
  <c r="G16" i="3"/>
  <c r="H16" i="3"/>
  <c r="I16" i="3"/>
  <c r="J16" i="3"/>
  <c r="K16" i="3"/>
  <c r="B16" i="2"/>
  <c r="C16" i="2"/>
  <c r="D16" i="2"/>
  <c r="E16" i="2"/>
  <c r="F16" i="2"/>
  <c r="G16" i="2"/>
  <c r="H16" i="2"/>
  <c r="I16" i="2"/>
  <c r="J16" i="2"/>
  <c r="K16" i="2"/>
  <c r="B14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G14" i="17"/>
  <c r="B15" i="3"/>
  <c r="C15" i="3"/>
  <c r="D15" i="3"/>
  <c r="E15" i="3"/>
  <c r="F15" i="3"/>
  <c r="G15" i="3"/>
  <c r="H15" i="3"/>
  <c r="I15" i="3"/>
  <c r="J15" i="3"/>
  <c r="K15" i="3"/>
  <c r="B15" i="2"/>
  <c r="C15" i="2"/>
  <c r="D15" i="2"/>
  <c r="E15" i="2"/>
  <c r="F15" i="2"/>
  <c r="G15" i="2"/>
  <c r="H15" i="2"/>
  <c r="I15" i="2"/>
  <c r="J15" i="2"/>
  <c r="K15" i="2"/>
  <c r="AC14" i="16"/>
  <c r="AC26" i="19" s="1"/>
  <c r="B13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F13" i="17"/>
  <c r="G13" i="17"/>
  <c r="H13" i="17"/>
  <c r="I13" i="17"/>
  <c r="J13" i="17"/>
  <c r="K13" i="17"/>
  <c r="L13" i="17"/>
  <c r="N13" i="17"/>
  <c r="O13" i="17"/>
  <c r="T13" i="17"/>
  <c r="U13" i="17"/>
  <c r="V13" i="17"/>
  <c r="W13" i="17"/>
  <c r="X13" i="17"/>
  <c r="Y13" i="17"/>
  <c r="Z13" i="17"/>
  <c r="AB13" i="17"/>
  <c r="AC13" i="17"/>
  <c r="AC12" i="16"/>
  <c r="AC13" i="16"/>
  <c r="AC25" i="19" s="1"/>
  <c r="B14" i="3"/>
  <c r="C14" i="3"/>
  <c r="D14" i="3"/>
  <c r="E14" i="3"/>
  <c r="F14" i="3"/>
  <c r="G14" i="3"/>
  <c r="H14" i="3"/>
  <c r="I14" i="3"/>
  <c r="J14" i="3"/>
  <c r="K14" i="3"/>
  <c r="B14" i="2"/>
  <c r="C14" i="2"/>
  <c r="D14" i="2"/>
  <c r="E14" i="2"/>
  <c r="F14" i="2"/>
  <c r="G14" i="2"/>
  <c r="H14" i="2"/>
  <c r="I14" i="2"/>
  <c r="J14" i="2"/>
  <c r="K14" i="2"/>
  <c r="B12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B12" i="17"/>
  <c r="C12" i="17"/>
  <c r="G12" i="17"/>
  <c r="H12" i="17"/>
  <c r="I12" i="17"/>
  <c r="J12" i="17"/>
  <c r="K12" i="17"/>
  <c r="O12" i="17"/>
  <c r="P12" i="17"/>
  <c r="Q12" i="17"/>
  <c r="R12" i="17"/>
  <c r="S12" i="17"/>
  <c r="W12" i="17"/>
  <c r="X12" i="17"/>
  <c r="Y12" i="17"/>
  <c r="Z12" i="17"/>
  <c r="AA12" i="17"/>
  <c r="B13" i="3"/>
  <c r="C13" i="3"/>
  <c r="D13" i="3"/>
  <c r="E13" i="3"/>
  <c r="F13" i="3"/>
  <c r="G13" i="3"/>
  <c r="H13" i="3"/>
  <c r="I13" i="3"/>
  <c r="J13" i="3"/>
  <c r="K13" i="3"/>
  <c r="B13" i="2"/>
  <c r="C13" i="2"/>
  <c r="D13" i="2"/>
  <c r="E13" i="2"/>
  <c r="F13" i="2"/>
  <c r="G13" i="2"/>
  <c r="H13" i="2"/>
  <c r="I13" i="2"/>
  <c r="J13" i="2"/>
  <c r="K13" i="2"/>
  <c r="B11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D11" i="17"/>
  <c r="F11" i="17"/>
  <c r="G11" i="17"/>
  <c r="H11" i="17"/>
  <c r="L11" i="17"/>
  <c r="M11" i="17"/>
  <c r="R11" i="17"/>
  <c r="T11" i="17"/>
  <c r="U11" i="17"/>
  <c r="V11" i="17"/>
  <c r="Z11" i="17"/>
  <c r="AA11" i="17"/>
  <c r="AC11" i="16"/>
  <c r="AC23" i="19" s="1"/>
  <c r="B12" i="3"/>
  <c r="C12" i="3"/>
  <c r="D12" i="3"/>
  <c r="E12" i="3"/>
  <c r="F12" i="3"/>
  <c r="G12" i="3"/>
  <c r="H12" i="3"/>
  <c r="I12" i="3"/>
  <c r="J12" i="3"/>
  <c r="K12" i="3"/>
  <c r="B12" i="2"/>
  <c r="C12" i="2"/>
  <c r="D12" i="2"/>
  <c r="E12" i="2"/>
  <c r="F12" i="2"/>
  <c r="G12" i="2"/>
  <c r="H12" i="2"/>
  <c r="I12" i="2"/>
  <c r="J12" i="2"/>
  <c r="K12" i="2"/>
  <c r="Y11" i="17" l="1"/>
  <c r="K11" i="17"/>
  <c r="AA13" i="17"/>
  <c r="M13" i="17"/>
  <c r="T14" i="17"/>
  <c r="F14" i="17"/>
  <c r="U14" i="17"/>
  <c r="X11" i="17"/>
  <c r="J11" i="17"/>
  <c r="S14" i="17"/>
  <c r="E14" i="17"/>
  <c r="W11" i="17"/>
  <c r="I11" i="17"/>
  <c r="R14" i="17"/>
  <c r="D14" i="17"/>
  <c r="V14" i="17"/>
  <c r="H14" i="17"/>
  <c r="P14" i="17"/>
  <c r="B14" i="17"/>
  <c r="Q14" i="17"/>
  <c r="AC14" i="17"/>
  <c r="O14" i="17"/>
  <c r="AC14" i="18"/>
  <c r="S11" i="17"/>
  <c r="E11" i="17"/>
  <c r="AB14" i="17"/>
  <c r="N14" i="17"/>
  <c r="C14" i="17"/>
  <c r="AA14" i="17"/>
  <c r="M14" i="17"/>
  <c r="Q11" i="17"/>
  <c r="C11" i="17"/>
  <c r="S13" i="17"/>
  <c r="E13" i="17"/>
  <c r="Z14" i="17"/>
  <c r="L14" i="17"/>
  <c r="R13" i="17"/>
  <c r="D13" i="17"/>
  <c r="Y14" i="17"/>
  <c r="K14" i="17"/>
  <c r="C13" i="17"/>
  <c r="X14" i="17"/>
  <c r="J14" i="17"/>
  <c r="P11" i="17"/>
  <c r="B11" i="17"/>
  <c r="AC11" i="17"/>
  <c r="O11" i="17"/>
  <c r="Q13" i="17"/>
  <c r="AB11" i="17"/>
  <c r="N11" i="17"/>
  <c r="D12" i="17"/>
  <c r="AC24" i="19"/>
  <c r="P13" i="17"/>
  <c r="B13" i="17"/>
  <c r="W14" i="17"/>
  <c r="I14" i="17"/>
  <c r="AC15" i="18"/>
  <c r="V12" i="17"/>
  <c r="N12" i="17"/>
  <c r="F12" i="17"/>
  <c r="AC12" i="17"/>
  <c r="U12" i="17"/>
  <c r="M12" i="17"/>
  <c r="E12" i="17"/>
  <c r="AB12" i="17"/>
  <c r="T12" i="17"/>
  <c r="L12" i="17"/>
  <c r="B10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O10" i="17"/>
  <c r="AC10" i="16"/>
  <c r="AC22" i="19" s="1"/>
  <c r="B11" i="3"/>
  <c r="C11" i="3"/>
  <c r="D11" i="3"/>
  <c r="E11" i="3"/>
  <c r="F11" i="3"/>
  <c r="G11" i="3"/>
  <c r="H11" i="3"/>
  <c r="I11" i="3"/>
  <c r="J11" i="3"/>
  <c r="K11" i="3"/>
  <c r="B11" i="2"/>
  <c r="C11" i="2"/>
  <c r="D11" i="2"/>
  <c r="E11" i="2"/>
  <c r="F11" i="2"/>
  <c r="G11" i="2"/>
  <c r="H11" i="2"/>
  <c r="I11" i="2"/>
  <c r="J11" i="2"/>
  <c r="K11" i="2"/>
  <c r="AC10" i="17" l="1"/>
  <c r="K10" i="17"/>
  <c r="N10" i="17"/>
  <c r="L10" i="17"/>
  <c r="X10" i="17"/>
  <c r="J10" i="17"/>
  <c r="W10" i="17"/>
  <c r="I10" i="17"/>
  <c r="AB10" i="17"/>
  <c r="H10" i="17"/>
  <c r="AC10" i="18"/>
  <c r="G10" i="17"/>
  <c r="AC11" i="18"/>
  <c r="AA10" i="17"/>
  <c r="M10" i="17"/>
  <c r="Z10" i="17"/>
  <c r="V10" i="17"/>
  <c r="T10" i="17"/>
  <c r="F10" i="17"/>
  <c r="P10" i="17"/>
  <c r="B10" i="17"/>
  <c r="Y10" i="17"/>
  <c r="U10" i="17"/>
  <c r="S10" i="17"/>
  <c r="E10" i="17"/>
  <c r="R10" i="17"/>
  <c r="D10" i="17"/>
  <c r="Q10" i="17"/>
  <c r="C10" i="17"/>
  <c r="B9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C9" i="17"/>
  <c r="D9" i="17"/>
  <c r="E9" i="17"/>
  <c r="F9" i="17"/>
  <c r="N9" i="17"/>
  <c r="O9" i="17"/>
  <c r="Q9" i="17"/>
  <c r="R9" i="17"/>
  <c r="S9" i="17"/>
  <c r="T9" i="17"/>
  <c r="AB9" i="17"/>
  <c r="AC9" i="17"/>
  <c r="AC9" i="16"/>
  <c r="AC21" i="19" s="1"/>
  <c r="B10" i="3"/>
  <c r="C10" i="3"/>
  <c r="D10" i="3"/>
  <c r="E10" i="3"/>
  <c r="F10" i="3"/>
  <c r="G10" i="3"/>
  <c r="H10" i="3"/>
  <c r="I10" i="3"/>
  <c r="J10" i="3"/>
  <c r="K10" i="3"/>
  <c r="B10" i="2"/>
  <c r="C10" i="2"/>
  <c r="D10" i="2"/>
  <c r="E10" i="2"/>
  <c r="F10" i="2"/>
  <c r="G10" i="2"/>
  <c r="H10" i="2"/>
  <c r="I10" i="2"/>
  <c r="J10" i="2"/>
  <c r="K10" i="2"/>
  <c r="B8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B9" i="3"/>
  <c r="C9" i="3"/>
  <c r="D9" i="3"/>
  <c r="E9" i="3"/>
  <c r="F9" i="3"/>
  <c r="G9" i="3"/>
  <c r="H9" i="3"/>
  <c r="I9" i="3"/>
  <c r="J9" i="3"/>
  <c r="K9" i="3"/>
  <c r="B9" i="2"/>
  <c r="C9" i="2"/>
  <c r="D9" i="2"/>
  <c r="E9" i="2"/>
  <c r="F9" i="2"/>
  <c r="G9" i="2"/>
  <c r="H9" i="2"/>
  <c r="I9" i="2"/>
  <c r="J9" i="2"/>
  <c r="K9" i="2"/>
  <c r="P9" i="17" l="1"/>
  <c r="B9" i="17"/>
  <c r="M9" i="17"/>
  <c r="L9" i="17"/>
  <c r="Y9" i="17"/>
  <c r="AA9" i="17"/>
  <c r="Z9" i="17"/>
  <c r="K9" i="17"/>
  <c r="X9" i="17"/>
  <c r="J9" i="17"/>
  <c r="W9" i="17"/>
  <c r="I9" i="17"/>
  <c r="V9" i="17"/>
  <c r="H9" i="17"/>
  <c r="U9" i="17"/>
  <c r="G9" i="17"/>
  <c r="B7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B8" i="3"/>
  <c r="C8" i="3"/>
  <c r="D8" i="3"/>
  <c r="E8" i="3"/>
  <c r="F8" i="3"/>
  <c r="G8" i="3"/>
  <c r="H8" i="3"/>
  <c r="I8" i="3"/>
  <c r="J8" i="3"/>
  <c r="K8" i="3"/>
  <c r="B8" i="2"/>
  <c r="C8" i="2"/>
  <c r="D8" i="2"/>
  <c r="E8" i="2"/>
  <c r="F8" i="2"/>
  <c r="G8" i="2"/>
  <c r="H8" i="2"/>
  <c r="I8" i="2"/>
  <c r="J8" i="2"/>
  <c r="K8" i="2"/>
  <c r="B6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C6" i="17"/>
  <c r="D6" i="17"/>
  <c r="E6" i="17"/>
  <c r="F6" i="17"/>
  <c r="G6" i="17"/>
  <c r="H6" i="17"/>
  <c r="I6" i="17"/>
  <c r="J6" i="17"/>
  <c r="K6" i="17"/>
  <c r="L6" i="17"/>
  <c r="P6" i="17"/>
  <c r="Q6" i="17"/>
  <c r="R6" i="17"/>
  <c r="S6" i="17"/>
  <c r="T6" i="17"/>
  <c r="U6" i="17"/>
  <c r="V6" i="17"/>
  <c r="W6" i="17"/>
  <c r="X6" i="17"/>
  <c r="Y6" i="17"/>
  <c r="Z6" i="17"/>
  <c r="AC6" i="16"/>
  <c r="AC18" i="19" s="1"/>
  <c r="B7" i="3"/>
  <c r="C7" i="3"/>
  <c r="D7" i="3"/>
  <c r="E7" i="3"/>
  <c r="F7" i="3"/>
  <c r="G7" i="3"/>
  <c r="H7" i="3"/>
  <c r="I7" i="3"/>
  <c r="J7" i="3"/>
  <c r="K7" i="3"/>
  <c r="B7" i="2"/>
  <c r="C7" i="2"/>
  <c r="D7" i="2"/>
  <c r="E7" i="2"/>
  <c r="F7" i="2"/>
  <c r="G7" i="2"/>
  <c r="H7" i="2"/>
  <c r="I7" i="2"/>
  <c r="J7" i="2"/>
  <c r="K7" i="2"/>
  <c r="AC6" i="17" l="1"/>
  <c r="O6" i="17"/>
  <c r="AC6" i="18"/>
  <c r="B6" i="17"/>
  <c r="AB6" i="17"/>
  <c r="N6" i="17"/>
  <c r="AA6" i="17"/>
  <c r="M6" i="17"/>
  <c r="B5" i="18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B6" i="3"/>
  <c r="C6" i="3"/>
  <c r="D6" i="3"/>
  <c r="E6" i="3"/>
  <c r="F6" i="3"/>
  <c r="G6" i="3"/>
  <c r="H6" i="3"/>
  <c r="I6" i="3"/>
  <c r="J6" i="3"/>
  <c r="B6" i="2"/>
  <c r="C6" i="2"/>
  <c r="D6" i="2"/>
  <c r="E6" i="2"/>
  <c r="F6" i="2"/>
  <c r="G6" i="2"/>
  <c r="H6" i="2"/>
  <c r="I6" i="2"/>
  <c r="J6" i="2"/>
  <c r="K6" i="2"/>
  <c r="D4" i="17"/>
  <c r="E4" i="17"/>
  <c r="R4" i="17"/>
  <c r="S4" i="17"/>
  <c r="AB4" i="17"/>
  <c r="AC4" i="16"/>
  <c r="AC16" i="19" s="1"/>
  <c r="Q4" i="17" l="1"/>
  <c r="C4" i="17"/>
  <c r="P4" i="17"/>
  <c r="B4" i="17"/>
  <c r="AC4" i="17"/>
  <c r="O4" i="17"/>
  <c r="Z4" i="17"/>
  <c r="L4" i="17"/>
  <c r="Y4" i="17"/>
  <c r="K4" i="17"/>
  <c r="N4" i="17"/>
  <c r="AA4" i="17"/>
  <c r="M4" i="17"/>
  <c r="V4" i="17"/>
  <c r="H4" i="17"/>
  <c r="X4" i="17"/>
  <c r="J4" i="17"/>
  <c r="AC5" i="18"/>
  <c r="W4" i="17"/>
  <c r="I4" i="17"/>
  <c r="U4" i="17"/>
  <c r="G4" i="17"/>
  <c r="T4" i="17"/>
  <c r="F4" i="17"/>
  <c r="A16" i="4"/>
  <c r="A15" i="16" s="1"/>
  <c r="A5" i="4"/>
  <c r="A4" i="16" s="1"/>
  <c r="A6" i="4"/>
  <c r="A5" i="16" s="1"/>
  <c r="A5" i="17" s="1"/>
  <c r="A7" i="4"/>
  <c r="A6" i="16" s="1"/>
  <c r="A8" i="4"/>
  <c r="A7" i="16" s="1"/>
  <c r="A9" i="4"/>
  <c r="A8" i="16" s="1"/>
  <c r="A10" i="4"/>
  <c r="A9" i="16" s="1"/>
  <c r="A11" i="4"/>
  <c r="A10" i="16" s="1"/>
  <c r="A12" i="4"/>
  <c r="A11" i="16" s="1"/>
  <c r="A13" i="4"/>
  <c r="A12" i="16" s="1"/>
  <c r="A14" i="4"/>
  <c r="A13" i="16" s="1"/>
  <c r="A15" i="4"/>
  <c r="A14" i="16" s="1"/>
  <c r="A16" i="3"/>
  <c r="A5" i="3"/>
  <c r="A6" i="3"/>
  <c r="A7" i="3"/>
  <c r="A8" i="3"/>
  <c r="A9" i="3"/>
  <c r="A10" i="3"/>
  <c r="A11" i="3"/>
  <c r="A12" i="3"/>
  <c r="A13" i="3"/>
  <c r="A14" i="3"/>
  <c r="A15" i="3"/>
  <c r="A6" i="2"/>
  <c r="A7" i="2"/>
  <c r="A8" i="2"/>
  <c r="A9" i="2"/>
  <c r="A10" i="2"/>
  <c r="A11" i="2"/>
  <c r="A12" i="2"/>
  <c r="A13" i="2"/>
  <c r="A14" i="2"/>
  <c r="A15" i="2"/>
  <c r="A16" i="2"/>
  <c r="A5" i="2"/>
  <c r="F5" i="2"/>
  <c r="G5" i="2"/>
  <c r="H5" i="2"/>
  <c r="I5" i="2"/>
  <c r="K5" i="1"/>
  <c r="A12" i="17" l="1"/>
  <c r="A12" i="18"/>
  <c r="A12" i="19"/>
  <c r="D5" i="2"/>
  <c r="A9" i="17"/>
  <c r="A9" i="19"/>
  <c r="A9" i="18"/>
  <c r="C5" i="2"/>
  <c r="A8" i="18"/>
  <c r="A8" i="19"/>
  <c r="A8" i="17"/>
  <c r="A13" i="17"/>
  <c r="A13" i="19"/>
  <c r="A13" i="18"/>
  <c r="A11" i="17"/>
  <c r="A11" i="18"/>
  <c r="A11" i="19"/>
  <c r="E5" i="2"/>
  <c r="A10" i="17"/>
  <c r="A10" i="18"/>
  <c r="A10" i="19"/>
  <c r="B5" i="2"/>
  <c r="A7" i="18"/>
  <c r="A7" i="19"/>
  <c r="A7" i="17"/>
  <c r="A6" i="18"/>
  <c r="A6" i="19"/>
  <c r="A6" i="17"/>
  <c r="A4" i="19"/>
  <c r="A4" i="17"/>
  <c r="A4" i="18"/>
  <c r="A15" i="17"/>
  <c r="A15" i="18"/>
  <c r="A15" i="19"/>
  <c r="A14" i="17"/>
  <c r="A14" i="18"/>
  <c r="A14" i="19"/>
  <c r="K5" i="2"/>
  <c r="A5" i="19"/>
  <c r="K17" i="4"/>
  <c r="K6" i="3"/>
  <c r="J5" i="2"/>
  <c r="A5" i="18"/>
</calcChain>
</file>

<file path=xl/sharedStrings.xml><?xml version="1.0" encoding="utf-8"?>
<sst xmlns="http://schemas.openxmlformats.org/spreadsheetml/2006/main" count="670" uniqueCount="52">
  <si>
    <t>Setor</t>
  </si>
  <si>
    <t>Região</t>
  </si>
  <si>
    <t>TOTAL</t>
  </si>
  <si>
    <t>Comércio</t>
  </si>
  <si>
    <t>Serviço</t>
  </si>
  <si>
    <t>Indústria</t>
  </si>
  <si>
    <t>Demais</t>
  </si>
  <si>
    <t>Norte</t>
  </si>
  <si>
    <t>Nordeste</t>
  </si>
  <si>
    <t>Centro-Oeste</t>
  </si>
  <si>
    <t>Sudeste</t>
  </si>
  <si>
    <t>Sul</t>
  </si>
  <si>
    <t>n.d</t>
  </si>
  <si>
    <t>UF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</si>
  <si>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</si>
  <si>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</si>
  <si>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</si>
  <si>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</si>
  <si>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</si>
  <si>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</si>
  <si>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</si>
  <si>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</si>
  <si>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</si>
  <si>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</si>
  <si>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</si>
  <si>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</si>
  <si>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</si>
  <si>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</si>
  <si>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</si>
  <si>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</si>
  <si>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</si>
  <si>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</si>
  <si>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</si>
  <si>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</si>
  <si>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</si>
  <si>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</si>
  <si>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</si>
  <si>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</si>
  <si>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</si>
  <si>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</si>
  <si>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</si>
  <si>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Total Geral</t>
  </si>
  <si>
    <t>n.d.</t>
  </si>
  <si>
    <t>Mês</t>
  </si>
  <si>
    <t>Indicador Serasa Experian de Inadimplência das Micro e Pequenas Empresas</t>
  </si>
  <si>
    <t>Indicador Serasa Experian de Inadimplência das Micro e Pequenas Empresas - Participação %</t>
  </si>
  <si>
    <t>Indicador Serasa Experian de Inadimplência das Micro e Pequenas Empresas - Variação Mensal</t>
  </si>
  <si>
    <t>Indicador Serasa Experian de Inadimplência das Micro e Pequenas Empresas - Variação Anual</t>
  </si>
  <si>
    <t>Indicador Serasa Experian de Inadimplência das Micro e Pequenas Empresas por Unidades da Federação</t>
  </si>
  <si>
    <t>Indicador Serasa Experian de Inadimplência das Micro e Pequenas Empresas por Unidades da Federação - Participação%</t>
  </si>
  <si>
    <t>Indicador Serasa Experian de Inadimplência das Micro e Pequenas Empresas por Unidades da Federação - Variação Mensal</t>
  </si>
  <si>
    <t>Indicador Serasa Experian de Inadimplência das Micro e Pequenas Empresas por Unidades da Federação - Variação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</si>
</sst>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0.0%"/>
    <numFmt numFmtId="166" formatCode="0.0"/>
    <numFmt numFmtId="167" formatCode="[$-416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26478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8288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5" fontId="2" fillId="0" borderId="4" xfId="1" applyNumberFormat="1" applyFont="1" applyBorder="1"/>
    <xf numFmtId="165" fontId="2" fillId="0" borderId="2" xfId="1" applyNumberFormat="1" applyFont="1" applyBorder="1"/>
    <xf numFmtId="165" fontId="2" fillId="0" borderId="4" xfId="1" applyNumberFormat="1" applyFont="1" applyBorder="1" applyAlignment="1">
      <alignment horizontal="center"/>
    </xf>
    <xf numFmtId="165" fontId="4" fillId="0" borderId="4" xfId="1" applyNumberFormat="1" applyFont="1" applyBorder="1" applyAlignment="1">
      <alignment horizontal="center"/>
    </xf>
    <xf numFmtId="165" fontId="2" fillId="0" borderId="2" xfId="1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4" fillId="0" borderId="6" xfId="1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2" fillId="0" borderId="6" xfId="1" applyNumberFormat="1" applyFont="1" applyBorder="1"/>
    <xf numFmtId="0" fontId="0" fillId="0" borderId="0" xfId="0" applyAlignment="1">
      <alignment horizontal="center"/>
    </xf>
    <xf numFmtId="9" fontId="0" fillId="0" borderId="0" xfId="1" applyFont="1"/>
    <xf numFmtId="165" fontId="0" fillId="0" borderId="0" xfId="1" applyNumberFormat="1" applyFont="1"/>
    <xf numFmtId="0" fontId="5" fillId="3" borderId="8" xfId="0" applyFont="1" applyFill="1" applyBorder="1"/>
    <xf numFmtId="166" fontId="0" fillId="0" borderId="0" xfId="0" applyNumberFormat="1"/>
    <xf numFmtId="10" fontId="0" fillId="0" borderId="0" xfId="1" applyNumberFormat="1" applyFont="1"/>
    <xf numFmtId="10" fontId="2" fillId="0" borderId="0" xfId="1" applyNumberFormat="1" applyFont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9828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76D310-7A87-4D9B-96BF-7016B3974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F3E46B-FF99-408E-91F0-F8FA5006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BAEB17-B434-4BBE-90E1-98D11CB83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C404BE-966D-4AC2-A431-D940D64E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A44B229-85EF-40F0-9CDE-1DCDCE7AA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0C02CF-50DB-45F5-A441-4DA1C1AA8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8F441AC-7140-4772-B97B-58CDC6F4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21690</xdr:colOff>
      <xdr:row>0</xdr:row>
      <xdr:rowOff>536494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0D17D7-03D7-481E-96B8-C8C5953D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8340" cy="536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showGridLines="0" tabSelected="1" workbookViewId="0">
      <pane xSplit="1" ySplit="4" topLeftCell="B29" activePane="bottomRight" state="frozen"/>
      <selection sqref="A1:XFD1"/>
      <selection pane="topRight" sqref="A1:XFD1"/>
      <selection pane="bottomLeft" sqref="A1:XFD1"/>
      <selection pane="bottomRight" activeCell="B39" sqref="B39"/>
    </sheetView>
  </sheetViews>
  <sheetFormatPr defaultRowHeight="14.5" x14ac:dyDescent="0.35"/>
  <cols>
    <col min="1" max="1" width="16.26953125" customWidth="1"/>
    <col min="2" max="2" width="11" customWidth="1"/>
    <col min="3" max="3" width="12" customWidth="1"/>
    <col min="4" max="4" width="10.81640625" customWidth="1"/>
    <col min="5" max="5" width="10.7265625" customWidth="1"/>
    <col min="6" max="6" width="10.453125" customWidth="1"/>
    <col min="7" max="7" width="11.1796875" customWidth="1"/>
    <col min="8" max="8" width="13.453125" customWidth="1"/>
    <col min="9" max="9" width="11.54296875" customWidth="1"/>
    <col min="10" max="10" width="11.1796875" customWidth="1"/>
    <col min="11" max="11" width="12.7265625" customWidth="1"/>
    <col min="12" max="12" width="10.54296875" bestFit="1" customWidth="1"/>
  </cols>
  <sheetData>
    <row r="1" spans="1:14" ht="45.5" customHeight="1" x14ac:dyDescent="0.35"/>
    <row r="2" spans="1:14" ht="15" customHeight="1" x14ac:dyDescent="0.35">
      <c r="A2" s="38" t="s">
        <v>44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4" x14ac:dyDescent="0.35">
      <c r="A3" s="7"/>
      <c r="B3" s="35" t="s">
        <v>0</v>
      </c>
      <c r="C3" s="35"/>
      <c r="D3" s="35"/>
      <c r="E3" s="35"/>
      <c r="F3" s="35" t="s">
        <v>1</v>
      </c>
      <c r="G3" s="35"/>
      <c r="H3" s="35"/>
      <c r="I3" s="35"/>
      <c r="J3" s="35"/>
      <c r="K3" s="36" t="s">
        <v>2</v>
      </c>
      <c r="L3" s="1"/>
      <c r="M3" s="1"/>
    </row>
    <row r="4" spans="1:14" x14ac:dyDescent="0.35">
      <c r="A4" s="8" t="s">
        <v>43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37"/>
      <c r="L4" s="1"/>
      <c r="M4" s="1"/>
    </row>
    <row r="5" spans="1:14" x14ac:dyDescent="0.35">
      <c r="A5" s="33">
        <v>45292</v>
      </c>
      <c r="B5" s="6">
        <v>2388392</v>
      </c>
      <c r="C5" s="6">
        <v>3320892</v>
      </c>
      <c r="D5" s="6">
        <v>482397</v>
      </c>
      <c r="E5" s="6">
        <v>95349</v>
      </c>
      <c r="F5" s="6">
        <v>341923</v>
      </c>
      <c r="G5" s="6">
        <v>1046825</v>
      </c>
      <c r="H5" s="6">
        <v>549355</v>
      </c>
      <c r="I5" s="6">
        <v>3311847</v>
      </c>
      <c r="J5" s="6">
        <v>1037080</v>
      </c>
      <c r="K5" s="6">
        <f t="shared" ref="K5" si="0">SUM(F5:J5)</f>
        <v>6287030</v>
      </c>
      <c r="L5" s="1"/>
      <c r="M5" s="31"/>
      <c r="N5" s="30"/>
    </row>
    <row r="6" spans="1:14" x14ac:dyDescent="0.35">
      <c r="A6" s="32">
        <v>45323</v>
      </c>
      <c r="B6" s="3">
        <v>2375366</v>
      </c>
      <c r="C6" s="3">
        <v>3319593</v>
      </c>
      <c r="D6" s="3">
        <v>480555</v>
      </c>
      <c r="E6" s="3">
        <v>95656</v>
      </c>
      <c r="F6" s="3">
        <v>340722</v>
      </c>
      <c r="G6" s="3">
        <v>1053579</v>
      </c>
      <c r="H6" s="3">
        <v>550543</v>
      </c>
      <c r="I6" s="3">
        <v>3289120</v>
      </c>
      <c r="J6" s="3">
        <v>1037206</v>
      </c>
      <c r="K6" s="3">
        <v>6271170</v>
      </c>
      <c r="M6" s="31"/>
      <c r="N6" s="30"/>
    </row>
    <row r="7" spans="1:14" x14ac:dyDescent="0.35">
      <c r="A7" s="32">
        <v>45352</v>
      </c>
      <c r="B7" s="3">
        <v>2376730</v>
      </c>
      <c r="C7" s="3">
        <v>3338030</v>
      </c>
      <c r="D7" s="3">
        <v>482106</v>
      </c>
      <c r="E7" s="3">
        <v>96049</v>
      </c>
      <c r="F7" s="3">
        <v>343096</v>
      </c>
      <c r="G7" s="3">
        <v>1062696</v>
      </c>
      <c r="H7" s="3">
        <v>544506</v>
      </c>
      <c r="I7" s="3">
        <v>3295260</v>
      </c>
      <c r="J7" s="3">
        <v>1047357</v>
      </c>
      <c r="K7" s="3">
        <v>6292915</v>
      </c>
      <c r="M7" s="31"/>
      <c r="N7" s="30"/>
    </row>
    <row r="8" spans="1:14" x14ac:dyDescent="0.35">
      <c r="A8" s="32">
        <v>45383</v>
      </c>
      <c r="B8" s="3">
        <v>2388893</v>
      </c>
      <c r="C8" s="3">
        <v>3388129</v>
      </c>
      <c r="D8" s="3">
        <v>484733</v>
      </c>
      <c r="E8" s="3">
        <v>96599</v>
      </c>
      <c r="F8" s="3">
        <v>349685</v>
      </c>
      <c r="G8" s="3">
        <v>1064233</v>
      </c>
      <c r="H8" s="3">
        <v>567293</v>
      </c>
      <c r="I8" s="3">
        <v>3324545</v>
      </c>
      <c r="J8" s="3">
        <v>1052598</v>
      </c>
      <c r="K8" s="3">
        <v>6358354</v>
      </c>
      <c r="M8" s="31"/>
      <c r="N8" s="30"/>
    </row>
    <row r="9" spans="1:14" x14ac:dyDescent="0.35">
      <c r="A9" s="32">
        <v>45413</v>
      </c>
      <c r="B9" s="3">
        <v>2428770</v>
      </c>
      <c r="C9" s="3">
        <v>3467875</v>
      </c>
      <c r="D9" s="3">
        <v>489098</v>
      </c>
      <c r="E9" s="3">
        <v>97362</v>
      </c>
      <c r="F9" s="3">
        <v>353985</v>
      </c>
      <c r="G9" s="3">
        <v>1067442</v>
      </c>
      <c r="H9" s="3">
        <v>572625</v>
      </c>
      <c r="I9" s="3">
        <v>3443214</v>
      </c>
      <c r="J9" s="3">
        <v>1045839</v>
      </c>
      <c r="K9" s="3">
        <v>6483105</v>
      </c>
      <c r="M9" s="31"/>
      <c r="N9" s="30"/>
    </row>
    <row r="10" spans="1:14" x14ac:dyDescent="0.35">
      <c r="A10" s="32">
        <v>45444</v>
      </c>
      <c r="B10" s="3">
        <v>2433732</v>
      </c>
      <c r="C10" s="3">
        <v>3503945</v>
      </c>
      <c r="D10" s="3">
        <v>490586</v>
      </c>
      <c r="E10" s="3">
        <v>100071</v>
      </c>
      <c r="F10" s="3">
        <v>355459</v>
      </c>
      <c r="G10" s="3">
        <v>1068767</v>
      </c>
      <c r="H10" s="3">
        <v>567509</v>
      </c>
      <c r="I10" s="3">
        <v>3497256</v>
      </c>
      <c r="J10" s="3">
        <v>1039343</v>
      </c>
      <c r="K10" s="3">
        <v>6528334</v>
      </c>
      <c r="M10" s="31"/>
      <c r="N10" s="30"/>
    </row>
    <row r="11" spans="1:14" x14ac:dyDescent="0.35">
      <c r="A11" s="32">
        <v>45474</v>
      </c>
      <c r="B11" s="3">
        <v>2423269</v>
      </c>
      <c r="C11" s="3">
        <v>3504566</v>
      </c>
      <c r="D11" s="3">
        <v>488788</v>
      </c>
      <c r="E11" s="3">
        <v>100374</v>
      </c>
      <c r="F11" s="3">
        <v>355372</v>
      </c>
      <c r="G11" s="3">
        <v>1060702</v>
      </c>
      <c r="H11" s="3">
        <v>570619</v>
      </c>
      <c r="I11" s="3">
        <v>3485167</v>
      </c>
      <c r="J11" s="3">
        <v>1045137</v>
      </c>
      <c r="K11" s="3">
        <v>6516997</v>
      </c>
      <c r="M11" s="31"/>
      <c r="N11" s="30"/>
    </row>
    <row r="12" spans="1:14" x14ac:dyDescent="0.35">
      <c r="A12" s="32">
        <v>45505</v>
      </c>
      <c r="B12" s="3">
        <v>2412154</v>
      </c>
      <c r="C12" s="3">
        <v>3494470</v>
      </c>
      <c r="D12" s="3">
        <v>485656</v>
      </c>
      <c r="E12" s="3">
        <v>100475</v>
      </c>
      <c r="F12" s="3">
        <v>356909</v>
      </c>
      <c r="G12" s="3">
        <v>1056093</v>
      </c>
      <c r="H12" s="3">
        <v>572335</v>
      </c>
      <c r="I12" s="3">
        <v>3464935</v>
      </c>
      <c r="J12" s="3">
        <v>1042483</v>
      </c>
      <c r="K12" s="3">
        <v>6492755</v>
      </c>
      <c r="M12" s="31"/>
      <c r="N12" s="30"/>
    </row>
    <row r="13" spans="1:14" x14ac:dyDescent="0.35">
      <c r="A13" s="32">
        <v>45536</v>
      </c>
      <c r="B13" s="3">
        <v>2419188</v>
      </c>
      <c r="C13" s="3">
        <v>3516566</v>
      </c>
      <c r="D13" s="3">
        <v>486789</v>
      </c>
      <c r="E13" s="3">
        <v>100722</v>
      </c>
      <c r="F13" s="3">
        <v>357781</v>
      </c>
      <c r="G13" s="3">
        <v>1061357</v>
      </c>
      <c r="H13" s="3">
        <v>576806</v>
      </c>
      <c r="I13" s="3">
        <v>3480138</v>
      </c>
      <c r="J13" s="3">
        <v>1047183</v>
      </c>
      <c r="K13" s="3">
        <v>6523265</v>
      </c>
      <c r="M13" s="31"/>
      <c r="N13" s="30"/>
    </row>
    <row r="14" spans="1:14" x14ac:dyDescent="0.35">
      <c r="A14" s="32">
        <v>45566</v>
      </c>
      <c r="B14" s="3">
        <v>2431347</v>
      </c>
      <c r="C14" s="3">
        <v>3556771</v>
      </c>
      <c r="D14" s="3">
        <v>489557</v>
      </c>
      <c r="E14" s="3">
        <v>101276</v>
      </c>
      <c r="F14" s="3">
        <v>361397</v>
      </c>
      <c r="G14" s="3">
        <v>1072898</v>
      </c>
      <c r="H14" s="3">
        <v>584601</v>
      </c>
      <c r="I14" s="3">
        <v>3509095</v>
      </c>
      <c r="J14" s="3">
        <v>1050960</v>
      </c>
      <c r="K14" s="3">
        <v>6578951</v>
      </c>
      <c r="L14" s="29"/>
      <c r="M14" s="31"/>
      <c r="N14" s="30"/>
    </row>
    <row r="15" spans="1:14" x14ac:dyDescent="0.35">
      <c r="A15" s="32">
        <v>45597</v>
      </c>
      <c r="B15" s="3">
        <v>2437811</v>
      </c>
      <c r="C15" s="3">
        <v>3475719</v>
      </c>
      <c r="D15" s="3">
        <v>539324</v>
      </c>
      <c r="E15" s="3">
        <v>120781</v>
      </c>
      <c r="F15" s="3">
        <v>362565</v>
      </c>
      <c r="G15" s="3">
        <v>1049925</v>
      </c>
      <c r="H15" s="3">
        <v>581885</v>
      </c>
      <c r="I15" s="3">
        <v>3535529</v>
      </c>
      <c r="J15" s="3">
        <v>1043731</v>
      </c>
      <c r="K15" s="3">
        <v>6573635</v>
      </c>
      <c r="L15" s="29"/>
      <c r="M15" s="31"/>
      <c r="N15" s="30"/>
    </row>
    <row r="16" spans="1:14" x14ac:dyDescent="0.35">
      <c r="A16" s="34">
        <v>45627</v>
      </c>
      <c r="B16" s="20">
        <v>2426600</v>
      </c>
      <c r="C16" s="20">
        <v>3473544</v>
      </c>
      <c r="D16" s="20">
        <v>536592</v>
      </c>
      <c r="E16" s="20">
        <v>121732</v>
      </c>
      <c r="F16" s="20">
        <v>358283</v>
      </c>
      <c r="G16" s="20">
        <v>1041433</v>
      </c>
      <c r="H16" s="20">
        <v>593429</v>
      </c>
      <c r="I16" s="20">
        <v>3525766</v>
      </c>
      <c r="J16" s="20">
        <v>1039557</v>
      </c>
      <c r="K16" s="20">
        <v>6558468</v>
      </c>
      <c r="L16" s="29"/>
      <c r="M16" s="31"/>
      <c r="N16" s="30"/>
    </row>
    <row r="17" spans="1:14" x14ac:dyDescent="0.35">
      <c r="A17" s="33">
        <v>45658</v>
      </c>
      <c r="B17" s="6">
        <v>2450557</v>
      </c>
      <c r="C17" s="6">
        <v>3540915</v>
      </c>
      <c r="D17" s="6">
        <v>545728</v>
      </c>
      <c r="E17" s="6">
        <v>123365</v>
      </c>
      <c r="F17" s="6">
        <v>368095</v>
      </c>
      <c r="G17" s="6">
        <v>1062051</v>
      </c>
      <c r="H17" s="6">
        <v>575459</v>
      </c>
      <c r="I17" s="6">
        <v>3599226</v>
      </c>
      <c r="J17" s="6">
        <v>1055734</v>
      </c>
      <c r="K17" s="6">
        <v>6660565</v>
      </c>
      <c r="L17" s="1"/>
      <c r="M17" s="31"/>
      <c r="N17" s="30"/>
    </row>
    <row r="18" spans="1:14" x14ac:dyDescent="0.35">
      <c r="A18" s="32">
        <v>45689</v>
      </c>
      <c r="B18" s="3">
        <v>2474360</v>
      </c>
      <c r="C18" s="3">
        <v>3634322</v>
      </c>
      <c r="D18" s="3">
        <v>555587</v>
      </c>
      <c r="E18" s="3">
        <v>126089</v>
      </c>
      <c r="F18" s="3">
        <v>376176</v>
      </c>
      <c r="G18" s="3">
        <v>1077993</v>
      </c>
      <c r="H18" s="3">
        <v>588884</v>
      </c>
      <c r="I18" s="3">
        <v>3674212</v>
      </c>
      <c r="J18" s="3">
        <v>1073093</v>
      </c>
      <c r="K18" s="3">
        <v>6790358</v>
      </c>
      <c r="M18" s="31"/>
      <c r="N18" s="30"/>
    </row>
    <row r="19" spans="1:14" x14ac:dyDescent="0.35">
      <c r="A19" s="32">
        <v>45717</v>
      </c>
      <c r="B19" s="3">
        <v>2509997</v>
      </c>
      <c r="C19" s="3">
        <v>3725448</v>
      </c>
      <c r="D19" s="3">
        <v>565881</v>
      </c>
      <c r="E19" s="3">
        <v>128851</v>
      </c>
      <c r="F19" s="3">
        <v>385216</v>
      </c>
      <c r="G19" s="3">
        <v>1099045</v>
      </c>
      <c r="H19" s="3">
        <v>602950</v>
      </c>
      <c r="I19" s="3">
        <v>3745609</v>
      </c>
      <c r="J19" s="3">
        <v>1097357</v>
      </c>
      <c r="K19" s="3">
        <v>6930177</v>
      </c>
      <c r="M19" s="31"/>
      <c r="N19" s="30"/>
    </row>
    <row r="20" spans="1:14" x14ac:dyDescent="0.35">
      <c r="A20" s="32">
        <v>45748</v>
      </c>
      <c r="B20" s="3">
        <v>2556421</v>
      </c>
      <c r="C20" s="3">
        <v>3855243</v>
      </c>
      <c r="D20" s="3">
        <v>582607</v>
      </c>
      <c r="E20" s="3">
        <v>132503</v>
      </c>
      <c r="F20" s="3">
        <v>395831</v>
      </c>
      <c r="G20" s="3">
        <v>1125126</v>
      </c>
      <c r="H20" s="3">
        <v>618689</v>
      </c>
      <c r="I20" s="3">
        <v>3848904</v>
      </c>
      <c r="J20" s="3">
        <v>1138224</v>
      </c>
      <c r="K20" s="3">
        <v>7126774</v>
      </c>
      <c r="M20" s="31"/>
      <c r="N20" s="30"/>
    </row>
    <row r="21" spans="1:14" x14ac:dyDescent="0.35">
      <c r="A21" s="32">
        <v>45778</v>
      </c>
      <c r="B21" s="3">
        <v>2582676</v>
      </c>
      <c r="C21" s="3">
        <v>3959648</v>
      </c>
      <c r="D21" s="3">
        <v>596537</v>
      </c>
      <c r="E21" s="3">
        <v>135310</v>
      </c>
      <c r="F21" s="3">
        <v>402893</v>
      </c>
      <c r="G21" s="3">
        <v>1140869</v>
      </c>
      <c r="H21" s="3">
        <v>636660</v>
      </c>
      <c r="I21" s="3">
        <v>3922582</v>
      </c>
      <c r="J21" s="3">
        <v>1171167</v>
      </c>
      <c r="K21" s="3">
        <v>7274171</v>
      </c>
      <c r="M21" s="31"/>
      <c r="N21" s="30"/>
    </row>
    <row r="22" spans="1:14" x14ac:dyDescent="0.35">
      <c r="A22" s="32">
        <v>45809</v>
      </c>
      <c r="B22" s="3">
        <v>2606478</v>
      </c>
      <c r="C22" s="3">
        <v>4031023</v>
      </c>
      <c r="D22" s="3">
        <v>605273</v>
      </c>
      <c r="E22" s="3">
        <v>137986</v>
      </c>
      <c r="F22" s="3">
        <v>408810</v>
      </c>
      <c r="G22" s="3">
        <v>1150057</v>
      </c>
      <c r="H22" s="3">
        <v>648004</v>
      </c>
      <c r="I22" s="3">
        <v>3975581</v>
      </c>
      <c r="J22" s="3">
        <v>1198308</v>
      </c>
      <c r="K22" s="3">
        <v>7380760</v>
      </c>
      <c r="M22" s="31"/>
      <c r="N22" s="30"/>
    </row>
    <row r="23" spans="1:14" x14ac:dyDescent="0.35">
      <c r="A23" s="32">
        <v>45839</v>
      </c>
      <c r="B23" s="3">
        <v>2657850</v>
      </c>
      <c r="C23" s="3">
        <v>4163509</v>
      </c>
      <c r="D23" s="3">
        <v>621384</v>
      </c>
      <c r="E23" s="3">
        <v>141559</v>
      </c>
      <c r="F23" s="3">
        <v>444082</v>
      </c>
      <c r="G23" s="3">
        <v>1174911</v>
      </c>
      <c r="H23" s="3">
        <v>665396</v>
      </c>
      <c r="I23" s="3">
        <v>4065588</v>
      </c>
      <c r="J23" s="3">
        <v>1234325</v>
      </c>
      <c r="K23" s="3">
        <v>7584302</v>
      </c>
      <c r="M23" s="31"/>
      <c r="N23" s="30"/>
    </row>
    <row r="24" spans="1:14" x14ac:dyDescent="0.35">
      <c r="A24" s="32">
        <v>45870</v>
      </c>
      <c r="B24" s="3">
        <v>2680723</v>
      </c>
      <c r="C24" s="3">
        <v>4240086</v>
      </c>
      <c r="D24" s="3">
        <v>630624</v>
      </c>
      <c r="E24" s="3">
        <v>144084</v>
      </c>
      <c r="F24" s="3">
        <v>457405</v>
      </c>
      <c r="G24" s="3">
        <v>1181253</v>
      </c>
      <c r="H24" s="3">
        <v>675746</v>
      </c>
      <c r="I24" s="3">
        <v>4124207</v>
      </c>
      <c r="J24" s="3">
        <v>1256906</v>
      </c>
      <c r="K24" s="3">
        <v>7695517</v>
      </c>
      <c r="M24" s="31"/>
      <c r="N24" s="30"/>
    </row>
    <row r="25" spans="1:14" x14ac:dyDescent="0.35">
      <c r="A25" s="32">
        <v>45901</v>
      </c>
      <c r="B25" s="3">
        <v>2743362</v>
      </c>
      <c r="C25" s="3">
        <v>4411704</v>
      </c>
      <c r="D25" s="3">
        <v>653387</v>
      </c>
      <c r="E25" s="3">
        <v>148754</v>
      </c>
      <c r="F25" s="3">
        <v>475220</v>
      </c>
      <c r="G25" s="3">
        <v>1218494</v>
      </c>
      <c r="H25" s="3">
        <v>696994</v>
      </c>
      <c r="I25" s="3">
        <v>4262531</v>
      </c>
      <c r="J25" s="3">
        <v>1303968</v>
      </c>
      <c r="K25" s="3">
        <f>SUM(F25:J25)</f>
        <v>7957207</v>
      </c>
      <c r="M25" s="31"/>
      <c r="N25" s="30"/>
    </row>
    <row r="26" spans="1:14" x14ac:dyDescent="0.35">
      <c r="A26" s="32">
        <v>45931</v>
      </c>
      <c r="B26" s="3">
        <v>2814053</v>
      </c>
      <c r="C26" s="3">
        <v>4580520</v>
      </c>
      <c r="D26" s="3">
        <v>676108</v>
      </c>
      <c r="E26" s="3">
        <v>153972</v>
      </c>
      <c r="F26" s="3">
        <v>492330</v>
      </c>
      <c r="G26" s="3">
        <v>1260364</v>
      </c>
      <c r="H26" s="3">
        <v>722326</v>
      </c>
      <c r="I26" s="3">
        <v>4398916</v>
      </c>
      <c r="J26" s="3">
        <v>1350717</v>
      </c>
      <c r="K26" s="3">
        <f>SUM(F26:J26)</f>
        <v>8224653</v>
      </c>
      <c r="L26" s="29"/>
      <c r="M26" s="31"/>
      <c r="N26" s="30"/>
    </row>
    <row r="27" spans="1:14" x14ac:dyDescent="0.35">
      <c r="A27" s="32">
        <v>45962</v>
      </c>
      <c r="B27" s="3">
        <v>2857275</v>
      </c>
      <c r="C27" s="3">
        <v>4717410</v>
      </c>
      <c r="D27" s="3">
        <v>695321</v>
      </c>
      <c r="E27" s="3">
        <v>158316</v>
      </c>
      <c r="F27" s="3">
        <v>506190</v>
      </c>
      <c r="G27" s="3">
        <v>1289457</v>
      </c>
      <c r="H27" s="3">
        <v>740901</v>
      </c>
      <c r="I27" s="3">
        <v>4508796</v>
      </c>
      <c r="J27" s="3">
        <v>1382978</v>
      </c>
      <c r="K27" s="3">
        <v>8428322</v>
      </c>
      <c r="L27" s="29"/>
      <c r="M27" s="31"/>
      <c r="N27" s="30"/>
    </row>
    <row r="28" spans="1:14" x14ac:dyDescent="0.35">
      <c r="A28" s="34">
        <v>45992</v>
      </c>
      <c r="B28" s="20">
        <v>2881868</v>
      </c>
      <c r="C28" s="20">
        <v>4760772</v>
      </c>
      <c r="D28" s="20">
        <v>702154</v>
      </c>
      <c r="E28" s="20">
        <v>160504</v>
      </c>
      <c r="F28" s="20">
        <v>510034</v>
      </c>
      <c r="G28" s="20">
        <v>1298648</v>
      </c>
      <c r="H28" s="20">
        <v>750538</v>
      </c>
      <c r="I28" s="20">
        <v>4550150</v>
      </c>
      <c r="J28" s="20">
        <v>1395928</v>
      </c>
      <c r="K28" s="20">
        <v>8505298</v>
      </c>
      <c r="L28" s="29"/>
      <c r="M28" s="31"/>
      <c r="N28" s="30"/>
    </row>
    <row r="29" spans="1:14" x14ac:dyDescent="0.35">
      <c r="A29" s="33">
        <v>46023</v>
      </c>
      <c r="B29" s="6">
        <v>2809102</v>
      </c>
      <c r="C29" s="6">
        <v>4644087</v>
      </c>
      <c r="D29" s="6">
        <v>682820</v>
      </c>
      <c r="E29" s="6">
        <v>157435</v>
      </c>
      <c r="F29" s="6">
        <v>469041</v>
      </c>
      <c r="G29" s="6">
        <v>1105551</v>
      </c>
      <c r="H29" s="6">
        <v>719473</v>
      </c>
      <c r="I29" s="6">
        <v>4584973</v>
      </c>
      <c r="J29" s="6">
        <v>1414406</v>
      </c>
      <c r="K29" s="6">
        <v>8293444</v>
      </c>
      <c r="L29" s="1"/>
      <c r="M29" s="31"/>
      <c r="N29" s="30"/>
    </row>
    <row r="30" spans="1:14" x14ac:dyDescent="0.35">
      <c r="A30" s="32">
        <v>46054</v>
      </c>
      <c r="B30" s="3">
        <v>2827433</v>
      </c>
      <c r="C30" s="3">
        <v>4709793</v>
      </c>
      <c r="D30" s="3">
        <v>690530</v>
      </c>
      <c r="E30" s="3">
        <v>159574</v>
      </c>
      <c r="F30" s="3">
        <v>473643</v>
      </c>
      <c r="G30" s="3">
        <v>1113376</v>
      </c>
      <c r="H30" s="3">
        <v>730622</v>
      </c>
      <c r="I30" s="3">
        <v>4634493</v>
      </c>
      <c r="J30" s="3">
        <v>1435196</v>
      </c>
      <c r="K30" s="3">
        <v>8387330</v>
      </c>
      <c r="M30" s="31"/>
      <c r="N30" s="30"/>
    </row>
    <row r="31" spans="1:14" x14ac:dyDescent="0.35">
      <c r="A31" s="32">
        <v>46082</v>
      </c>
      <c r="B31" s="3">
        <v>2835736</v>
      </c>
      <c r="C31" s="3">
        <v>4750124</v>
      </c>
      <c r="D31" s="3">
        <v>695411</v>
      </c>
      <c r="E31" s="3">
        <v>161387</v>
      </c>
      <c r="F31" s="3">
        <v>479222</v>
      </c>
      <c r="G31" s="3">
        <v>1117497</v>
      </c>
      <c r="H31" s="3">
        <v>736738</v>
      </c>
      <c r="I31" s="3">
        <v>4658468</v>
      </c>
      <c r="J31" s="3">
        <v>1450733</v>
      </c>
      <c r="K31" s="3">
        <v>8442658</v>
      </c>
      <c r="M31" s="31"/>
      <c r="N31" s="30"/>
    </row>
    <row r="32" spans="1:14" x14ac:dyDescent="0.35">
      <c r="A32" s="32">
        <v>46113</v>
      </c>
      <c r="B32" s="3">
        <v>2857320</v>
      </c>
      <c r="C32" s="3">
        <v>4801153</v>
      </c>
      <c r="D32" s="3">
        <v>701244</v>
      </c>
      <c r="E32" s="3">
        <v>163592</v>
      </c>
      <c r="F32" s="3">
        <v>483816</v>
      </c>
      <c r="G32" s="3">
        <v>1127106</v>
      </c>
      <c r="H32" s="3">
        <v>745091</v>
      </c>
      <c r="I32" s="3">
        <v>4696712</v>
      </c>
      <c r="J32" s="3">
        <v>1470584</v>
      </c>
      <c r="K32" s="3">
        <v>8523309</v>
      </c>
      <c r="M32" s="31"/>
      <c r="N32" s="30"/>
    </row>
    <row r="33" spans="1:14" x14ac:dyDescent="0.35">
      <c r="A33" s="32">
        <v>46143</v>
      </c>
      <c r="B33" s="3">
        <v>2869054</v>
      </c>
      <c r="C33" s="3">
        <v>4838895</v>
      </c>
      <c r="D33" s="3">
        <v>705490</v>
      </c>
      <c r="E33" s="3">
        <v>165518</v>
      </c>
      <c r="F33" s="3">
        <v>488531</v>
      </c>
      <c r="G33" s="3">
        <v>1128264</v>
      </c>
      <c r="H33" s="3">
        <v>753053</v>
      </c>
      <c r="I33" s="3">
        <v>4723876</v>
      </c>
      <c r="J33" s="3">
        <v>1485233</v>
      </c>
      <c r="K33" s="3">
        <v>8578957</v>
      </c>
      <c r="M33" s="31"/>
      <c r="N33" s="30"/>
    </row>
    <row r="34" spans="1:14" x14ac:dyDescent="0.35">
      <c r="A34" s="32">
        <v>46174</v>
      </c>
      <c r="B34" s="3">
        <v>2898492</v>
      </c>
      <c r="C34" s="3">
        <v>4906288</v>
      </c>
      <c r="D34" s="3">
        <v>712491</v>
      </c>
      <c r="E34" s="3">
        <v>168541</v>
      </c>
      <c r="F34" s="3">
        <v>492736</v>
      </c>
      <c r="G34" s="3">
        <v>1146646</v>
      </c>
      <c r="H34" s="3">
        <v>761554</v>
      </c>
      <c r="I34" s="3">
        <v>4780230</v>
      </c>
      <c r="J34" s="3">
        <v>1504646</v>
      </c>
      <c r="K34" s="3">
        <v>8685812</v>
      </c>
      <c r="M34" s="31"/>
      <c r="N34" s="30"/>
    </row>
    <row r="35" spans="1:14" x14ac:dyDescent="0.35">
      <c r="A35" s="32">
        <v>46204</v>
      </c>
      <c r="B35" s="3">
        <v>2908097</v>
      </c>
      <c r="C35" s="3">
        <v>4942701</v>
      </c>
      <c r="D35" s="3">
        <v>715489</v>
      </c>
      <c r="E35" s="3">
        <v>170517</v>
      </c>
      <c r="F35" s="3">
        <v>495360</v>
      </c>
      <c r="G35" s="3">
        <v>1149676</v>
      </c>
      <c r="H35" s="3">
        <v>766503</v>
      </c>
      <c r="I35" s="3">
        <v>4803325</v>
      </c>
      <c r="J35" s="3">
        <v>1521940</v>
      </c>
      <c r="K35" s="3">
        <v>8736804</v>
      </c>
      <c r="M35" s="31"/>
      <c r="N35" s="30"/>
    </row>
    <row r="36" spans="1:14" x14ac:dyDescent="0.35">
      <c r="A36" s="32">
        <v>46235</v>
      </c>
      <c r="B36" s="3"/>
      <c r="C36" s="3"/>
      <c r="D36" s="3"/>
      <c r="E36" s="3"/>
      <c r="F36" s="3"/>
      <c r="G36" s="3"/>
      <c r="H36" s="3"/>
      <c r="I36" s="3"/>
      <c r="J36" s="3"/>
      <c r="K36" s="3"/>
      <c r="M36" s="31"/>
      <c r="N36" s="30"/>
    </row>
    <row r="37" spans="1:14" x14ac:dyDescent="0.35">
      <c r="A37" s="32">
        <v>46266</v>
      </c>
      <c r="B37" s="3"/>
      <c r="C37" s="3"/>
      <c r="D37" s="3"/>
      <c r="E37" s="3"/>
      <c r="F37" s="3"/>
      <c r="G37" s="3"/>
      <c r="H37" s="3"/>
      <c r="I37" s="3"/>
      <c r="J37" s="3"/>
      <c r="K37" s="3"/>
      <c r="M37" s="31"/>
      <c r="N37" s="30"/>
    </row>
    <row r="38" spans="1:14" x14ac:dyDescent="0.35">
      <c r="A38" s="32">
        <v>46296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29"/>
      <c r="M38" s="31"/>
      <c r="N38" s="30"/>
    </row>
    <row r="39" spans="1:14" x14ac:dyDescent="0.35">
      <c r="A39" s="32">
        <v>46327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29"/>
      <c r="M39" s="31"/>
      <c r="N39" s="30"/>
    </row>
    <row r="40" spans="1:14" x14ac:dyDescent="0.35">
      <c r="A40" s="34">
        <v>46357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9"/>
      <c r="M40" s="31"/>
      <c r="N40" s="30"/>
    </row>
  </sheetData>
  <mergeCells count="4">
    <mergeCell ref="B3:E3"/>
    <mergeCell ref="F3:J3"/>
    <mergeCell ref="K3:K4"/>
    <mergeCell ref="A2:K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workbookViewId="0">
      <pane xSplit="1" ySplit="4" topLeftCell="B29" activePane="bottomRight" state="frozen"/>
      <selection activeCell="H6" sqref="H6"/>
      <selection pane="topRight" activeCell="H6" sqref="H6"/>
      <selection pane="bottomLeft" activeCell="H6" sqref="H6"/>
      <selection pane="bottomRight" activeCell="M37" sqref="M37"/>
    </sheetView>
  </sheetViews>
  <sheetFormatPr defaultRowHeight="14.5" x14ac:dyDescent="0.35"/>
  <cols>
    <col min="1" max="1" width="16.26953125" style="25" customWidth="1"/>
    <col min="2" max="2" width="11" customWidth="1"/>
    <col min="3" max="3" width="12" customWidth="1"/>
    <col min="4" max="4" width="10.81640625" customWidth="1"/>
    <col min="5" max="5" width="10.7265625" customWidth="1"/>
    <col min="6" max="6" width="10.453125" customWidth="1"/>
    <col min="7" max="7" width="11.1796875" customWidth="1"/>
    <col min="8" max="8" width="13.453125" customWidth="1"/>
    <col min="9" max="9" width="11.54296875" customWidth="1"/>
    <col min="10" max="10" width="11.1796875" customWidth="1"/>
    <col min="11" max="11" width="12.7265625" customWidth="1"/>
  </cols>
  <sheetData>
    <row r="1" spans="1:11" ht="45.5" customHeight="1" x14ac:dyDescent="0.35"/>
    <row r="2" spans="1:11" x14ac:dyDescent="0.35">
      <c r="A2" s="38" t="s">
        <v>45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x14ac:dyDescent="0.35">
      <c r="A3" s="7"/>
      <c r="B3" s="35" t="s">
        <v>0</v>
      </c>
      <c r="C3" s="35"/>
      <c r="D3" s="35"/>
      <c r="E3" s="35"/>
      <c r="F3" s="35" t="s">
        <v>1</v>
      </c>
      <c r="G3" s="35"/>
      <c r="H3" s="35"/>
      <c r="I3" s="35"/>
      <c r="J3" s="35"/>
      <c r="K3" s="39" t="s">
        <v>2</v>
      </c>
    </row>
    <row r="4" spans="1:11" x14ac:dyDescent="0.35">
      <c r="A4" s="8" t="s">
        <v>43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40"/>
    </row>
    <row r="5" spans="1:11" x14ac:dyDescent="0.35">
      <c r="A5" s="5">
        <f>Geral!A5</f>
        <v>45292</v>
      </c>
      <c r="B5" s="11">
        <f>Geral!B5/Geral!$K5</f>
        <v>0.37989193625607004</v>
      </c>
      <c r="C5" s="11">
        <f>Geral!C5/Geral!$K5</f>
        <v>0.52821316265390816</v>
      </c>
      <c r="D5" s="11">
        <f>Geral!D5/Geral!$K5</f>
        <v>7.6728916515429388E-2</v>
      </c>
      <c r="E5" s="11">
        <f>Geral!E5/Geral!$K5</f>
        <v>1.5165984574592454E-2</v>
      </c>
      <c r="F5" s="11">
        <f>Geral!F5/Geral!$K5</f>
        <v>5.4385457044105086E-2</v>
      </c>
      <c r="G5" s="11">
        <f>Geral!G5/Geral!$K5</f>
        <v>0.16650548828302075</v>
      </c>
      <c r="H5" s="11">
        <f>Geral!H5/Geral!$K5</f>
        <v>8.7379096330063633E-2</v>
      </c>
      <c r="I5" s="11">
        <f>Geral!I5/Geral!$K5</f>
        <v>0.526774486522253</v>
      </c>
      <c r="J5" s="11">
        <f>Geral!J5/Geral!$K5</f>
        <v>0.16495547182055756</v>
      </c>
      <c r="K5" s="11">
        <f>Geral!K5/Geral!$K5</f>
        <v>1</v>
      </c>
    </row>
    <row r="6" spans="1:11" x14ac:dyDescent="0.35">
      <c r="A6" s="2">
        <f>Geral!A6</f>
        <v>45323</v>
      </c>
      <c r="B6" s="10">
        <f>Geral!B6/Geral!$K6</f>
        <v>0.37877557138460605</v>
      </c>
      <c r="C6" s="10">
        <f>Geral!C6/Geral!$K6</f>
        <v>0.52934189313955771</v>
      </c>
      <c r="D6" s="10">
        <f>Geral!D6/Geral!$K6</f>
        <v>7.6629241433416734E-2</v>
      </c>
      <c r="E6" s="10">
        <f>Geral!E6/Geral!$K6</f>
        <v>1.5253294042419516E-2</v>
      </c>
      <c r="F6" s="10">
        <f>Geral!F6/Geral!$K6</f>
        <v>5.4331488382550627E-2</v>
      </c>
      <c r="G6" s="10">
        <f>Geral!G6/Geral!$K6</f>
        <v>0.16800357827965118</v>
      </c>
      <c r="H6" s="10">
        <f>Geral!H6/Geral!$K6</f>
        <v>8.7789519340091243E-2</v>
      </c>
      <c r="I6" s="10">
        <f>Geral!I6/Geral!$K6</f>
        <v>0.52448267229241119</v>
      </c>
      <c r="J6" s="10">
        <f>Geral!J6/Geral!$K6</f>
        <v>0.16539274170529583</v>
      </c>
      <c r="K6" s="10">
        <f>Geral!K6/Geral!$K6</f>
        <v>1</v>
      </c>
    </row>
    <row r="7" spans="1:11" x14ac:dyDescent="0.35">
      <c r="A7" s="2">
        <f>Geral!A7</f>
        <v>45352</v>
      </c>
      <c r="B7" s="10">
        <f>Geral!B7/Geral!$K7</f>
        <v>0.37768347419280252</v>
      </c>
      <c r="C7" s="10">
        <f>Geral!C7/Geral!$K7</f>
        <v>0.53044256914323484</v>
      </c>
      <c r="D7" s="10">
        <f>Geral!D7/Geral!$K7</f>
        <v>7.6610918787239302E-2</v>
      </c>
      <c r="E7" s="10">
        <f>Geral!E7/Geral!$K7</f>
        <v>1.5263037876723267E-2</v>
      </c>
      <c r="F7" s="10">
        <f>Geral!F7/Geral!$K7</f>
        <v>5.4520997026020535E-2</v>
      </c>
      <c r="G7" s="10">
        <f>Geral!G7/Geral!$K7</f>
        <v>0.16887181854514163</v>
      </c>
      <c r="H7" s="10">
        <f>Geral!H7/Geral!$K7</f>
        <v>8.6526832159658923E-2</v>
      </c>
      <c r="I7" s="10">
        <f>Geral!I7/Geral!$K7</f>
        <v>0.52364603685255562</v>
      </c>
      <c r="J7" s="10">
        <f>Geral!J7/Geral!$K7</f>
        <v>0.16643431541662329</v>
      </c>
      <c r="K7" s="10">
        <f>Geral!K7/Geral!$K7</f>
        <v>1</v>
      </c>
    </row>
    <row r="8" spans="1:11" x14ac:dyDescent="0.35">
      <c r="A8" s="2">
        <f>Geral!A8</f>
        <v>45383</v>
      </c>
      <c r="B8" s="10">
        <f>Geral!B8/Geral!$K8</f>
        <v>0.37570934238641007</v>
      </c>
      <c r="C8" s="10">
        <f>Geral!C8/Geral!$K8</f>
        <v>0.53286259305474337</v>
      </c>
      <c r="D8" s="10">
        <f>Geral!D8/Geral!$K8</f>
        <v>7.6235610662759579E-2</v>
      </c>
      <c r="E8" s="10">
        <f>Geral!E8/Geral!$K8</f>
        <v>1.5192453896086944E-2</v>
      </c>
      <c r="F8" s="10">
        <f>Geral!F8/Geral!$K8</f>
        <v>5.4996151519717207E-2</v>
      </c>
      <c r="G8" s="10">
        <f>Geral!G8/Geral!$K8</f>
        <v>0.16737555033897136</v>
      </c>
      <c r="H8" s="10">
        <f>Geral!H8/Geral!$K8</f>
        <v>8.9220103190228162E-2</v>
      </c>
      <c r="I8" s="10">
        <f>Geral!I8/Geral!$K8</f>
        <v>0.52286252070897599</v>
      </c>
      <c r="J8" s="10">
        <f>Geral!J8/Geral!$K8</f>
        <v>0.16554567424210731</v>
      </c>
      <c r="K8" s="10">
        <f>Geral!K8/Geral!$K8</f>
        <v>1</v>
      </c>
    </row>
    <row r="9" spans="1:11" x14ac:dyDescent="0.35">
      <c r="A9" s="2">
        <f>Geral!A9</f>
        <v>45413</v>
      </c>
      <c r="B9" s="10">
        <f>Geral!B9/Geral!$K9</f>
        <v>0.37463067465358035</v>
      </c>
      <c r="C9" s="10">
        <f>Geral!C9/Geral!$K9</f>
        <v>0.53490958421929002</v>
      </c>
      <c r="D9" s="10">
        <f>Geral!D9/Geral!$K9</f>
        <v>7.5441937158198122E-2</v>
      </c>
      <c r="E9" s="10">
        <f>Geral!E9/Geral!$K9</f>
        <v>1.5017803968931554E-2</v>
      </c>
      <c r="F9" s="10">
        <f>Geral!F9/Geral!$K9</f>
        <v>5.4601151762928408E-2</v>
      </c>
      <c r="G9" s="10">
        <f>Geral!G9/Geral!$K9</f>
        <v>0.16464980900355616</v>
      </c>
      <c r="H9" s="10">
        <f>Geral!H9/Geral!$K9</f>
        <v>8.8325732808584773E-2</v>
      </c>
      <c r="I9" s="10">
        <f>Geral!I9/Geral!$K9</f>
        <v>0.53110569703868749</v>
      </c>
      <c r="J9" s="10">
        <f>Geral!J9/Geral!$K9</f>
        <v>0.16131760938624318</v>
      </c>
      <c r="K9" s="10">
        <f>Geral!K9/Geral!$K9</f>
        <v>1</v>
      </c>
    </row>
    <row r="10" spans="1:11" x14ac:dyDescent="0.35">
      <c r="A10" s="2">
        <f>Geral!A10</f>
        <v>45444</v>
      </c>
      <c r="B10" s="10">
        <f>Geral!B10/Geral!$K10</f>
        <v>0.37279526445797656</v>
      </c>
      <c r="C10" s="10">
        <f>Geral!C10/Geral!$K10</f>
        <v>0.53672881932817773</v>
      </c>
      <c r="D10" s="10">
        <f>Geral!D10/Geral!$K10</f>
        <v>7.5147196819280393E-2</v>
      </c>
      <c r="E10" s="10">
        <f>Geral!E10/Geral!$K10</f>
        <v>1.5328719394565289E-2</v>
      </c>
      <c r="F10" s="10">
        <f>Geral!F10/Geral!$K10</f>
        <v>5.4448654128296747E-2</v>
      </c>
      <c r="G10" s="10">
        <f>Geral!G10/Geral!$K10</f>
        <v>0.16371205884993018</v>
      </c>
      <c r="H10" s="10">
        <f>Geral!H10/Geral!$K10</f>
        <v>8.6930141748262274E-2</v>
      </c>
      <c r="I10" s="10">
        <f>Geral!I10/Geral!$K10</f>
        <v>0.5357042087613777</v>
      </c>
      <c r="J10" s="10">
        <f>Geral!J10/Geral!$K10</f>
        <v>0.15920493651213311</v>
      </c>
      <c r="K10" s="10">
        <f>Geral!K10/Geral!$K10</f>
        <v>1</v>
      </c>
    </row>
    <row r="11" spans="1:11" x14ac:dyDescent="0.35">
      <c r="A11" s="2">
        <f>Geral!A11</f>
        <v>45474</v>
      </c>
      <c r="B11" s="10">
        <f>Geral!B11/Geral!$K11</f>
        <v>0.37183828686740228</v>
      </c>
      <c r="C11" s="10">
        <f>Geral!C11/Geral!$K11</f>
        <v>0.537757804706677</v>
      </c>
      <c r="D11" s="10">
        <f>Geral!D11/Geral!$K11</f>
        <v>7.5002029308897947E-2</v>
      </c>
      <c r="E11" s="10">
        <f>Geral!E11/Geral!$K11</f>
        <v>1.5401879117022763E-2</v>
      </c>
      <c r="F11" s="10">
        <f>Geral!F11/Geral!$K11</f>
        <v>5.4530023567603302E-2</v>
      </c>
      <c r="G11" s="10">
        <f>Geral!G11/Geral!$K11</f>
        <v>0.16275931997513579</v>
      </c>
      <c r="H11" s="10">
        <f>Geral!H11/Geral!$K11</f>
        <v>8.7558579511391524E-2</v>
      </c>
      <c r="I11" s="10">
        <f>Geral!I11/Geral!$K11</f>
        <v>0.53478112695156987</v>
      </c>
      <c r="J11" s="10">
        <f>Geral!J11/Geral!$K11</f>
        <v>0.16037094999429952</v>
      </c>
      <c r="K11" s="10">
        <f>Geral!K11/Geral!$K11</f>
        <v>1</v>
      </c>
    </row>
    <row r="12" spans="1:11" x14ac:dyDescent="0.35">
      <c r="A12" s="2">
        <f>Geral!A12</f>
        <v>45505</v>
      </c>
      <c r="B12" s="10">
        <f>Geral!B12/Geral!$K12</f>
        <v>0.37151471139755005</v>
      </c>
      <c r="C12" s="10">
        <f>Geral!C12/Geral!$K12</f>
        <v>0.5382106671205058</v>
      </c>
      <c r="D12" s="10">
        <f>Geral!D12/Geral!$K12</f>
        <v>7.4799680567032026E-2</v>
      </c>
      <c r="E12" s="10">
        <f>Geral!E12/Geral!$K12</f>
        <v>1.5474940914912083E-2</v>
      </c>
      <c r="F12" s="10">
        <f>Geral!F12/Geral!$K12</f>
        <v>5.4970347718341445E-2</v>
      </c>
      <c r="G12" s="10">
        <f>Geral!G12/Geral!$K12</f>
        <v>0.16265714631154263</v>
      </c>
      <c r="H12" s="10">
        <f>Geral!H12/Geral!$K12</f>
        <v>8.8149791575379013E-2</v>
      </c>
      <c r="I12" s="10">
        <f>Geral!I12/Geral!$K12</f>
        <v>0.53366175067440558</v>
      </c>
      <c r="J12" s="10">
        <f>Geral!J12/Geral!$K12</f>
        <v>0.16056096372033135</v>
      </c>
      <c r="K12" s="10">
        <f>Geral!K12/Geral!$K12</f>
        <v>1</v>
      </c>
    </row>
    <row r="13" spans="1:11" x14ac:dyDescent="0.35">
      <c r="A13" s="2">
        <f>Geral!A13</f>
        <v>45536</v>
      </c>
      <c r="B13" s="10">
        <f>Geral!B13/Geral!$K13</f>
        <v>0.37085539220007158</v>
      </c>
      <c r="C13" s="10">
        <f>Geral!C13/Geral!$K13</f>
        <v>0.53908065976163777</v>
      </c>
      <c r="D13" s="10">
        <f>Geral!D13/Geral!$K13</f>
        <v>7.4623520583634112E-2</v>
      </c>
      <c r="E13" s="10">
        <f>Geral!E13/Geral!$K13</f>
        <v>1.5440427454656526E-2</v>
      </c>
      <c r="F13" s="10">
        <f>Geral!F13/Geral!$K13</f>
        <v>5.484692098205423E-2</v>
      </c>
      <c r="G13" s="10">
        <f>Geral!G13/Geral!$K13</f>
        <v>0.16270333950866628</v>
      </c>
      <c r="H13" s="10">
        <f>Geral!H13/Geral!$K13</f>
        <v>8.8422898655811155E-2</v>
      </c>
      <c r="I13" s="10">
        <f>Geral!I13/Geral!$K13</f>
        <v>0.53349633963973564</v>
      </c>
      <c r="J13" s="10">
        <f>Geral!J13/Geral!$K13</f>
        <v>0.16053050121373269</v>
      </c>
      <c r="K13" s="10">
        <f>Geral!K13/Geral!$K13</f>
        <v>1</v>
      </c>
    </row>
    <row r="14" spans="1:11" x14ac:dyDescent="0.35">
      <c r="A14" s="2">
        <f>Geral!A14</f>
        <v>45566</v>
      </c>
      <c r="B14" s="10">
        <f>Geral!B14/Geral!$K14</f>
        <v>0.36956454000037392</v>
      </c>
      <c r="C14" s="10">
        <f>Geral!C14/Geral!$K14</f>
        <v>0.54062889357285071</v>
      </c>
      <c r="D14" s="10">
        <f>Geral!D14/Geral!$K14</f>
        <v>7.4412622924232147E-2</v>
      </c>
      <c r="E14" s="10">
        <f>Geral!E14/Geral!$K14</f>
        <v>1.5393943502543186E-2</v>
      </c>
      <c r="F14" s="10">
        <f>Geral!F14/Geral!$K14</f>
        <v>5.493231367736285E-2</v>
      </c>
      <c r="G14" s="10">
        <f>Geral!G14/Geral!$K14</f>
        <v>0.1630804059796159</v>
      </c>
      <c r="H14" s="10">
        <f>Geral!H14/Geral!$K14</f>
        <v>8.8859302949664778E-2</v>
      </c>
      <c r="I14" s="10">
        <f>Geral!I14/Geral!$K14</f>
        <v>0.53338214557305563</v>
      </c>
      <c r="J14" s="10">
        <f>Geral!J14/Geral!$K14</f>
        <v>0.15974583182030083</v>
      </c>
      <c r="K14" s="10">
        <f>Geral!K14/Geral!$K14</f>
        <v>1</v>
      </c>
    </row>
    <row r="15" spans="1:11" x14ac:dyDescent="0.35">
      <c r="A15" s="2">
        <f>Geral!A15</f>
        <v>45597</v>
      </c>
      <c r="B15" s="10">
        <f>Geral!B15/Geral!$K15</f>
        <v>0.37084672331214008</v>
      </c>
      <c r="C15" s="10">
        <f>Geral!C15/Geral!$K15</f>
        <v>0.52873623193256092</v>
      </c>
      <c r="D15" s="10">
        <f>Geral!D15/Geral!$K15</f>
        <v>8.2043496482539724E-2</v>
      </c>
      <c r="E15" s="10">
        <f>Geral!E15/Geral!$K15</f>
        <v>1.8373548272759287E-2</v>
      </c>
      <c r="F15" s="10">
        <f>Geral!F15/Geral!$K15</f>
        <v>5.5154416087902662E-2</v>
      </c>
      <c r="G15" s="10">
        <f>Geral!G15/Geral!$K15</f>
        <v>0.15971756874240811</v>
      </c>
      <c r="H15" s="10">
        <f>Geral!H15/Geral!$K15</f>
        <v>8.8517996511823363E-2</v>
      </c>
      <c r="I15" s="10">
        <f>Geral!I15/Geral!$K15</f>
        <v>0.53783469876255674</v>
      </c>
      <c r="J15" s="10">
        <f>Geral!J15/Geral!$K15</f>
        <v>0.15877531989530907</v>
      </c>
      <c r="K15" s="10">
        <f>Geral!K15/Geral!$K15</f>
        <v>1</v>
      </c>
    </row>
    <row r="16" spans="1:11" x14ac:dyDescent="0.35">
      <c r="A16" s="23">
        <f>Geral!A16</f>
        <v>45627</v>
      </c>
      <c r="B16" s="24">
        <f>Geral!B16/Geral!$K16</f>
        <v>0.36999494394117649</v>
      </c>
      <c r="C16" s="24">
        <f>Geral!C16/Geral!$K16</f>
        <v>0.52962734589846283</v>
      </c>
      <c r="D16" s="24">
        <f>Geral!D16/Geral!$K16</f>
        <v>8.1816668160918066E-2</v>
      </c>
      <c r="E16" s="24">
        <f>Geral!E16/Geral!$K16</f>
        <v>1.8561041999442553E-2</v>
      </c>
      <c r="F16" s="24">
        <f>Geral!F16/Geral!$K16</f>
        <v>5.4629068861813457E-2</v>
      </c>
      <c r="G16" s="24">
        <f>Geral!G16/Geral!$K16</f>
        <v>0.15879211425595124</v>
      </c>
      <c r="H16" s="24">
        <f>Geral!H16/Geral!$K16</f>
        <v>9.0482868865106911E-2</v>
      </c>
      <c r="I16" s="24">
        <f>Geral!I16/Geral!$K16</f>
        <v>0.53758987617230125</v>
      </c>
      <c r="J16" s="24">
        <f>Geral!J16/Geral!$K16</f>
        <v>0.15850607184482718</v>
      </c>
      <c r="K16" s="24">
        <f>Geral!K16/Geral!$K16</f>
        <v>1</v>
      </c>
    </row>
    <row r="17" spans="1:11" x14ac:dyDescent="0.35">
      <c r="A17" s="5">
        <f>Geral!A17</f>
        <v>45658</v>
      </c>
      <c r="B17" s="11">
        <f>Geral!B17/Geral!$K17</f>
        <v>0.36792028904454804</v>
      </c>
      <c r="C17" s="11">
        <f>Geral!C17/Geral!$K17</f>
        <v>0.53162381870006525</v>
      </c>
      <c r="D17" s="11">
        <f>Geral!D17/Geral!$K17</f>
        <v>8.1934190267642454E-2</v>
      </c>
      <c r="E17" s="11">
        <f>Geral!E17/Geral!$K17</f>
        <v>1.8521701987744284E-2</v>
      </c>
      <c r="F17" s="11">
        <f>Geral!F17/Geral!$K17</f>
        <v>5.5264831136697862E-2</v>
      </c>
      <c r="G17" s="11">
        <f>Geral!G17/Geral!$K17</f>
        <v>0.15945358989815428</v>
      </c>
      <c r="H17" s="11">
        <f>Geral!H17/Geral!$K17</f>
        <v>8.639792570149829E-2</v>
      </c>
      <c r="I17" s="11">
        <f>Geral!I17/Geral!$K17</f>
        <v>0.54037848140510603</v>
      </c>
      <c r="J17" s="11">
        <f>Geral!J17/Geral!$K17</f>
        <v>0.15850517185854354</v>
      </c>
      <c r="K17" s="11">
        <f>Geral!K17/Geral!$K17</f>
        <v>1</v>
      </c>
    </row>
    <row r="18" spans="1:11" x14ac:dyDescent="0.35">
      <c r="A18" s="2">
        <f>Geral!A18</f>
        <v>45689</v>
      </c>
      <c r="B18" s="10">
        <f>Geral!B18/Geral!$K18</f>
        <v>0.36439315865231259</v>
      </c>
      <c r="C18" s="10">
        <f>Geral!C18/Geral!$K18</f>
        <v>0.53521802532355434</v>
      </c>
      <c r="D18" s="10">
        <f>Geral!D18/Geral!$K18</f>
        <v>8.181998651617485E-2</v>
      </c>
      <c r="E18" s="10">
        <f>Geral!E18/Geral!$K18</f>
        <v>1.8568829507958195E-2</v>
      </c>
      <c r="F18" s="10">
        <f>Geral!F18/Geral!$K18</f>
        <v>5.5398551887838605E-2</v>
      </c>
      <c r="G18" s="10">
        <f>Geral!G18/Geral!$K18</f>
        <v>0.1587534854568787</v>
      </c>
      <c r="H18" s="10">
        <f>Geral!H18/Geral!$K18</f>
        <v>8.6723557137929994E-2</v>
      </c>
      <c r="I18" s="10">
        <f>Geral!I18/Geral!$K18</f>
        <v>0.54109253149833925</v>
      </c>
      <c r="J18" s="10">
        <f>Geral!J18/Geral!$K18</f>
        <v>0.15803187401901342</v>
      </c>
      <c r="K18" s="10">
        <f>Geral!K18/Geral!$K18</f>
        <v>1</v>
      </c>
    </row>
    <row r="19" spans="1:11" x14ac:dyDescent="0.35">
      <c r="A19" s="2">
        <f>Geral!A19</f>
        <v>45717</v>
      </c>
      <c r="B19" s="10">
        <f>Geral!B19/Geral!$K19</f>
        <v>0.36218367871412233</v>
      </c>
      <c r="C19" s="10">
        <f>Geral!C19/Geral!$K19</f>
        <v>0.53756895386654624</v>
      </c>
      <c r="D19" s="10">
        <f>Geral!D19/Geral!$K19</f>
        <v>8.1654624405696999E-2</v>
      </c>
      <c r="E19" s="10">
        <f>Geral!E19/Geral!$K19</f>
        <v>1.8592743013634429E-2</v>
      </c>
      <c r="F19" s="10">
        <f>Geral!F19/Geral!$K19</f>
        <v>5.5585304675479431E-2</v>
      </c>
      <c r="G19" s="10">
        <f>Geral!G19/Geral!$K19</f>
        <v>0.15858830156863238</v>
      </c>
      <c r="H19" s="10">
        <f>Geral!H19/Geral!$K19</f>
        <v>8.7003549837183086E-2</v>
      </c>
      <c r="I19" s="10">
        <f>Geral!I19/Geral!$K19</f>
        <v>0.5404781147725376</v>
      </c>
      <c r="J19" s="10">
        <f>Geral!J19/Geral!$K19</f>
        <v>0.15834472914616754</v>
      </c>
      <c r="K19" s="10">
        <f>Geral!K19/Geral!$K19</f>
        <v>1</v>
      </c>
    </row>
    <row r="20" spans="1:11" x14ac:dyDescent="0.35">
      <c r="A20" s="2">
        <f>Geral!A20</f>
        <v>45748</v>
      </c>
      <c r="B20" s="10">
        <f>Geral!B20/Geral!$K20</f>
        <v>0.3587066181697357</v>
      </c>
      <c r="C20" s="10">
        <f>Geral!C20/Geral!$K20</f>
        <v>0.54095204927222329</v>
      </c>
      <c r="D20" s="10">
        <f>Geral!D20/Geral!$K20</f>
        <v>8.17490494296578E-2</v>
      </c>
      <c r="E20" s="10">
        <f>Geral!E20/Geral!$K20</f>
        <v>1.8592283128383194E-2</v>
      </c>
      <c r="F20" s="10">
        <f>Geral!F20/Geral!$K20</f>
        <v>5.5541399236176146E-2</v>
      </c>
      <c r="G20" s="10">
        <f>Geral!G20/Geral!$K20</f>
        <v>0.15787311341709448</v>
      </c>
      <c r="H20" s="10">
        <f>Geral!H20/Geral!$K20</f>
        <v>8.6811929212291569E-2</v>
      </c>
      <c r="I20" s="10">
        <f>Geral!I20/Geral!$K20</f>
        <v>0.54006258652231709</v>
      </c>
      <c r="J20" s="10">
        <f>Geral!J20/Geral!$K20</f>
        <v>0.15971097161212072</v>
      </c>
      <c r="K20" s="10">
        <f>Geral!K20/Geral!$K20</f>
        <v>1</v>
      </c>
    </row>
    <row r="21" spans="1:11" x14ac:dyDescent="0.35">
      <c r="A21" s="2">
        <f>Geral!A21</f>
        <v>45778</v>
      </c>
      <c r="B21" s="10">
        <f>Geral!B21/Geral!$K21</f>
        <v>0.35504746863938175</v>
      </c>
      <c r="C21" s="10">
        <f>Geral!C21/Geral!$K21</f>
        <v>0.54434354100281668</v>
      </c>
      <c r="D21" s="10">
        <f>Geral!D21/Geral!$K21</f>
        <v>8.2007557974647552E-2</v>
      </c>
      <c r="E21" s="10">
        <f>Geral!E21/Geral!$K21</f>
        <v>1.8601432383154041E-2</v>
      </c>
      <c r="F21" s="10">
        <f>Geral!F21/Geral!$K21</f>
        <v>5.5386792529348021E-2</v>
      </c>
      <c r="G21" s="10">
        <f>Geral!G21/Geral!$K21</f>
        <v>0.156838353126425</v>
      </c>
      <c r="H21" s="10">
        <f>Geral!H21/Geral!$K21</f>
        <v>8.7523375515917892E-2</v>
      </c>
      <c r="I21" s="10">
        <f>Geral!I21/Geral!$K21</f>
        <v>0.5392479775358594</v>
      </c>
      <c r="J21" s="10">
        <f>Geral!J21/Geral!$K21</f>
        <v>0.16100350129244967</v>
      </c>
      <c r="K21" s="10">
        <f>Geral!K21/Geral!$K21</f>
        <v>1</v>
      </c>
    </row>
    <row r="22" spans="1:11" x14ac:dyDescent="0.35">
      <c r="A22" s="2">
        <f>Geral!A22</f>
        <v>45809</v>
      </c>
      <c r="B22" s="10">
        <f>Geral!B22/Geral!$K22</f>
        <v>0.35314493358407534</v>
      </c>
      <c r="C22" s="10">
        <f>Geral!C22/Geral!$K22</f>
        <v>0.54615283520938218</v>
      </c>
      <c r="D22" s="10">
        <f>Geral!D22/Geral!$K22</f>
        <v>8.2006866501552686E-2</v>
      </c>
      <c r="E22" s="10">
        <f>Geral!E22/Geral!$K22</f>
        <v>1.8695364704989729E-2</v>
      </c>
      <c r="F22" s="10">
        <f>Geral!F22/Geral!$K22</f>
        <v>5.5388604967510122E-2</v>
      </c>
      <c r="G22" s="10">
        <f>Geral!G22/Geral!$K22</f>
        <v>0.15581823552046131</v>
      </c>
      <c r="H22" s="10">
        <f>Geral!H22/Geral!$K22</f>
        <v>8.7796378692709148E-2</v>
      </c>
      <c r="I22" s="10">
        <f>Geral!I22/Geral!$K22</f>
        <v>0.53864114264655671</v>
      </c>
      <c r="J22" s="10">
        <f>Geral!J22/Geral!$K22</f>
        <v>0.16235563817276269</v>
      </c>
      <c r="K22" s="10">
        <f>Geral!K22/Geral!$K22</f>
        <v>1</v>
      </c>
    </row>
    <row r="23" spans="1:11" x14ac:dyDescent="0.35">
      <c r="A23" s="2">
        <f>Geral!A23</f>
        <v>45839</v>
      </c>
      <c r="B23" s="10">
        <f>Geral!B23/Geral!$K23</f>
        <v>0.35044095026806688</v>
      </c>
      <c r="C23" s="10">
        <f>Geral!C23/Geral!$K23</f>
        <v>0.54896403123187865</v>
      </c>
      <c r="D23" s="10">
        <f>Geral!D23/Geral!$K23</f>
        <v>8.1930281784665215E-2</v>
      </c>
      <c r="E23" s="10">
        <f>Geral!E23/Geral!$K23</f>
        <v>1.8664736715389235E-2</v>
      </c>
      <c r="F23" s="10">
        <f>Geral!F23/Geral!$K23</f>
        <v>5.8552784422350269E-2</v>
      </c>
      <c r="G23" s="10">
        <f>Geral!G23/Geral!$K23</f>
        <v>0.15491353060571691</v>
      </c>
      <c r="H23" s="10">
        <f>Geral!H23/Geral!$K23</f>
        <v>8.773332074593021E-2</v>
      </c>
      <c r="I23" s="10">
        <f>Geral!I23/Geral!$K23</f>
        <v>0.53605302109541519</v>
      </c>
      <c r="J23" s="10">
        <f>Geral!J23/Geral!$K23</f>
        <v>0.16274734313058736</v>
      </c>
      <c r="K23" s="10">
        <f>Geral!K23/Geral!$K23</f>
        <v>1</v>
      </c>
    </row>
    <row r="24" spans="1:11" x14ac:dyDescent="0.35">
      <c r="A24" s="2">
        <f>Geral!A24</f>
        <v>45870</v>
      </c>
      <c r="B24" s="10">
        <f>Geral!B24/Geral!$K24</f>
        <v>0.34834865545745658</v>
      </c>
      <c r="C24" s="10">
        <f>Geral!C24/Geral!$K24</f>
        <v>0.55098130508970355</v>
      </c>
      <c r="D24" s="10">
        <f>Geral!D24/Geral!$K24</f>
        <v>8.194693092095047E-2</v>
      </c>
      <c r="E24" s="10">
        <f>Geral!E24/Geral!$K24</f>
        <v>1.872310853188941E-2</v>
      </c>
      <c r="F24" s="10">
        <f>Geral!F24/Geral!$K24</f>
        <v>5.9437851933794701E-2</v>
      </c>
      <c r="G24" s="10">
        <f>Geral!G24/Geral!$K24</f>
        <v>0.15349884874531497</v>
      </c>
      <c r="H24" s="10">
        <f>Geral!H24/Geral!$K24</f>
        <v>8.7810344646110192E-2</v>
      </c>
      <c r="I24" s="10">
        <f>Geral!I24/Geral!$K24</f>
        <v>0.53592331743273391</v>
      </c>
      <c r="J24" s="10">
        <f>Geral!J24/Geral!$K24</f>
        <v>0.16332963724204624</v>
      </c>
      <c r="K24" s="10">
        <f>Geral!K24/Geral!$K24</f>
        <v>1</v>
      </c>
    </row>
    <row r="25" spans="1:11" x14ac:dyDescent="0.35">
      <c r="A25" s="2">
        <f>Geral!A25</f>
        <v>45901</v>
      </c>
      <c r="B25" s="10">
        <f>Geral!B25/Geral!$K25</f>
        <v>0.34476443807481694</v>
      </c>
      <c r="C25" s="10">
        <f>Geral!C25/Geral!$K25</f>
        <v>0.55442870846516878</v>
      </c>
      <c r="D25" s="10">
        <f>Geral!D25/Geral!$K25</f>
        <v>8.2112605591384016E-2</v>
      </c>
      <c r="E25" s="10">
        <f>Geral!E25/Geral!$K25</f>
        <v>1.8694247868630286E-2</v>
      </c>
      <c r="F25" s="10">
        <f>Geral!F25/Geral!$K25</f>
        <v>5.9721960230518067E-2</v>
      </c>
      <c r="G25" s="10">
        <f>Geral!G25/Geral!$K25</f>
        <v>0.15313086614436447</v>
      </c>
      <c r="H25" s="10">
        <f>Geral!H25/Geral!$K25</f>
        <v>8.7592794808530175E-2</v>
      </c>
      <c r="I25" s="10">
        <f>Geral!I25/Geral!$K25</f>
        <v>0.53568180392944409</v>
      </c>
      <c r="J25" s="10">
        <f>Geral!J25/Geral!$K25</f>
        <v>0.16387257488714319</v>
      </c>
      <c r="K25" s="10">
        <f>Geral!K25/Geral!$K25</f>
        <v>1</v>
      </c>
    </row>
    <row r="26" spans="1:11" x14ac:dyDescent="0.35">
      <c r="A26" s="2">
        <f>Geral!A26</f>
        <v>45931</v>
      </c>
      <c r="B26" s="10">
        <f>Geral!B26/Geral!$K26</f>
        <v>0.34214853805990358</v>
      </c>
      <c r="C26" s="10">
        <f>Geral!C26/Geral!$K26</f>
        <v>0.5569256234883101</v>
      </c>
      <c r="D26" s="10">
        <f>Geral!D26/Geral!$K26</f>
        <v>8.2205048650684717E-2</v>
      </c>
      <c r="E26" s="10">
        <f>Geral!E26/Geral!$K26</f>
        <v>1.8720789801101638E-2</v>
      </c>
      <c r="F26" s="10">
        <f>Geral!F26/Geral!$K26</f>
        <v>5.98602761721376E-2</v>
      </c>
      <c r="G26" s="10">
        <f>Geral!G26/Geral!$K26</f>
        <v>0.15324220973213096</v>
      </c>
      <c r="H26" s="10">
        <f>Geral!H26/Geral!$K26</f>
        <v>8.7824495452878071E-2</v>
      </c>
      <c r="I26" s="10">
        <f>Geral!I26/Geral!$K26</f>
        <v>0.53484517827074285</v>
      </c>
      <c r="J26" s="10">
        <f>Geral!J26/Geral!$K26</f>
        <v>0.16422784037211052</v>
      </c>
      <c r="K26" s="10">
        <f>Geral!K26/Geral!$K26</f>
        <v>1</v>
      </c>
    </row>
    <row r="27" spans="1:11" x14ac:dyDescent="0.35">
      <c r="A27" s="2">
        <f>Geral!A27</f>
        <v>45962</v>
      </c>
      <c r="B27" s="10">
        <f>Geral!B27/Geral!$K27</f>
        <v>0.33900876117452561</v>
      </c>
      <c r="C27" s="10">
        <f>Geral!C27/Geral!$K27</f>
        <v>0.55970927546432137</v>
      </c>
      <c r="D27" s="10">
        <f>Geral!D27/Geral!$K27</f>
        <v>8.2498153250433484E-2</v>
      </c>
      <c r="E27" s="10">
        <f>Geral!E27/Geral!$K27</f>
        <v>1.8783810110719546E-2</v>
      </c>
      <c r="F27" s="10">
        <f>Geral!F27/Geral!$K27</f>
        <v>6.0058217994044365E-2</v>
      </c>
      <c r="G27" s="10">
        <f>Geral!G27/Geral!$K27</f>
        <v>0.15299095122374298</v>
      </c>
      <c r="H27" s="10">
        <f>Geral!H27/Geral!$K27</f>
        <v>8.7906109899455673E-2</v>
      </c>
      <c r="I27" s="10">
        <f>Geral!I27/Geral!$K27</f>
        <v>0.53495772942704367</v>
      </c>
      <c r="J27" s="10">
        <f>Geral!J27/Geral!$K27</f>
        <v>0.16408699145571326</v>
      </c>
      <c r="K27" s="10">
        <f>Geral!K27/Geral!$K27</f>
        <v>1</v>
      </c>
    </row>
    <row r="28" spans="1:11" x14ac:dyDescent="0.35">
      <c r="A28" s="23">
        <f>Geral!A28</f>
        <v>45992</v>
      </c>
      <c r="B28" s="24">
        <f>Geral!B28/Geral!$K28</f>
        <v>0.33883210206156211</v>
      </c>
      <c r="C28" s="24">
        <f>Geral!C28/Geral!$K28</f>
        <v>0.55974193967101449</v>
      </c>
      <c r="D28" s="24">
        <f>Geral!D28/Geral!$K28</f>
        <v>8.2554896959518648E-2</v>
      </c>
      <c r="E28" s="24">
        <f>Geral!E28/Geral!$K28</f>
        <v>1.887106130790479E-2</v>
      </c>
      <c r="F28" s="24">
        <f>Geral!F28/Geral!$K28</f>
        <v>5.9966623156531375E-2</v>
      </c>
      <c r="G28" s="24">
        <f>Geral!G28/Geral!$K28</f>
        <v>0.15268694877004899</v>
      </c>
      <c r="H28" s="24">
        <f>Geral!H28/Geral!$K28</f>
        <v>8.8243586526891821E-2</v>
      </c>
      <c r="I28" s="24">
        <f>Geral!I28/Geral!$K28</f>
        <v>0.53497831586853273</v>
      </c>
      <c r="J28" s="24">
        <f>Geral!J28/Geral!$K28</f>
        <v>0.16412452567799507</v>
      </c>
      <c r="K28" s="24">
        <f>Geral!K28/Geral!$K28</f>
        <v>1</v>
      </c>
    </row>
    <row r="29" spans="1:11" x14ac:dyDescent="0.35">
      <c r="A29" s="5">
        <f>Geral!A29</f>
        <v>46023</v>
      </c>
      <c r="B29" s="11">
        <f>Geral!B29/Geral!$K29</f>
        <v>0.33871356700545635</v>
      </c>
      <c r="C29" s="11">
        <f>Geral!C29/Geral!$K29</f>
        <v>0.55997086373284732</v>
      </c>
      <c r="D29" s="11">
        <f>Geral!D29/Geral!$K29</f>
        <v>8.2332502637022686E-2</v>
      </c>
      <c r="E29" s="11">
        <f>Geral!E29/Geral!$K29</f>
        <v>1.8983066624673656E-2</v>
      </c>
      <c r="F29" s="11">
        <f>Geral!F29/Geral!$K29</f>
        <v>5.6555635993924838E-2</v>
      </c>
      <c r="G29" s="11">
        <f>Geral!G29/Geral!$K29</f>
        <v>0.13330420992774533</v>
      </c>
      <c r="H29" s="11">
        <f>Geral!H29/Geral!$K29</f>
        <v>8.6752017617771335E-2</v>
      </c>
      <c r="I29" s="11">
        <f>Geral!I29/Geral!$K29</f>
        <v>0.55284306495588564</v>
      </c>
      <c r="J29" s="11">
        <f>Geral!J29/Geral!$K29</f>
        <v>0.17054507150467285</v>
      </c>
      <c r="K29" s="11">
        <f>Geral!K29/Geral!$K29</f>
        <v>1</v>
      </c>
    </row>
    <row r="30" spans="1:11" x14ac:dyDescent="0.35">
      <c r="A30" s="2">
        <f>Geral!A30</f>
        <v>46054</v>
      </c>
      <c r="B30" s="10">
        <f>Geral!B30/Geral!$K30</f>
        <v>0.33710763735300747</v>
      </c>
      <c r="C30" s="10">
        <f>Geral!C30/Geral!$K30</f>
        <v>0.56153662726994169</v>
      </c>
      <c r="D30" s="10">
        <f>Geral!D30/Geral!$K30</f>
        <v>8.2330133665898447E-2</v>
      </c>
      <c r="E30" s="10">
        <f>Geral!E30/Geral!$K30</f>
        <v>1.9025601711152418E-2</v>
      </c>
      <c r="F30" s="10">
        <f>Geral!F30/Geral!$K30</f>
        <v>5.6471248895655711E-2</v>
      </c>
      <c r="G30" s="10">
        <f>Geral!G30/Geral!$K30</f>
        <v>0.13274498559136222</v>
      </c>
      <c r="H30" s="10">
        <f>Geral!H30/Geral!$K30</f>
        <v>8.7110200743263949E-2</v>
      </c>
      <c r="I30" s="10">
        <f>Geral!I30/Geral!$K30</f>
        <v>0.55255879999952306</v>
      </c>
      <c r="J30" s="10">
        <f>Geral!J30/Geral!$K30</f>
        <v>0.17111476477019505</v>
      </c>
      <c r="K30" s="10">
        <f>Geral!K30/Geral!$K30</f>
        <v>1</v>
      </c>
    </row>
    <row r="31" spans="1:11" x14ac:dyDescent="0.35">
      <c r="A31" s="2">
        <f>Geral!A31</f>
        <v>46082</v>
      </c>
      <c r="B31" s="10">
        <f>Geral!B31/Geral!$K31</f>
        <v>0.33588189880485508</v>
      </c>
      <c r="C31" s="10">
        <f>Geral!C31/Geral!$K31</f>
        <v>0.56263371085267222</v>
      </c>
      <c r="D31" s="10">
        <f>Geral!D31/Geral!$K31</f>
        <v>8.2368727952737156E-2</v>
      </c>
      <c r="E31" s="10">
        <f>Geral!E31/Geral!$K31</f>
        <v>1.9115662389735555E-2</v>
      </c>
      <c r="F31" s="10">
        <f>Geral!F31/Geral!$K31</f>
        <v>5.6761981830840476E-2</v>
      </c>
      <c r="G31" s="10">
        <f>Geral!G31/Geral!$K31</f>
        <v>0.13236317283016794</v>
      </c>
      <c r="H31" s="10">
        <f>Geral!H31/Geral!$K31</f>
        <v>8.7263750349712135E-2</v>
      </c>
      <c r="I31" s="10">
        <f>Geral!I31/Geral!$K31</f>
        <v>0.55177741417454074</v>
      </c>
      <c r="J31" s="10">
        <f>Geral!J31/Geral!$K31</f>
        <v>0.17183368081473868</v>
      </c>
      <c r="K31" s="10">
        <f>Geral!K31/Geral!$K31</f>
        <v>1</v>
      </c>
    </row>
    <row r="32" spans="1:11" x14ac:dyDescent="0.35">
      <c r="A32" s="2">
        <f>Geral!A32</f>
        <v>46113</v>
      </c>
      <c r="B32" s="10">
        <f>Geral!B32/Geral!$K32</f>
        <v>0.33523599813171151</v>
      </c>
      <c r="C32" s="10">
        <f>Geral!C32/Geral!$K32</f>
        <v>0.56329683694443089</v>
      </c>
      <c r="D32" s="10">
        <f>Geral!D32/Geral!$K32</f>
        <v>8.2273680327675555E-2</v>
      </c>
      <c r="E32" s="10">
        <f>Geral!E32/Geral!$K32</f>
        <v>1.9193484596182069E-2</v>
      </c>
      <c r="F32" s="10">
        <f>Geral!F32/Geral!$K32</f>
        <v>5.6763869525321677E-2</v>
      </c>
      <c r="G32" s="10">
        <f>Geral!G32/Geral!$K32</f>
        <v>0.13223807795775092</v>
      </c>
      <c r="H32" s="10">
        <f>Geral!H32/Geral!$K32</f>
        <v>8.7418043860664915E-2</v>
      </c>
      <c r="I32" s="10">
        <f>Geral!I32/Geral!$K32</f>
        <v>0.55104326265773074</v>
      </c>
      <c r="J32" s="10">
        <f>Geral!J32/Geral!$K32</f>
        <v>0.1725367459985318</v>
      </c>
      <c r="K32" s="10">
        <f>Geral!K32/Geral!$K32</f>
        <v>1</v>
      </c>
    </row>
    <row r="33" spans="1:11" x14ac:dyDescent="0.35">
      <c r="A33" s="2">
        <f>Geral!A33</f>
        <v>46143</v>
      </c>
      <c r="B33" s="10">
        <f>Geral!B33/Geral!$K33</f>
        <v>0.33442923189846974</v>
      </c>
      <c r="C33" s="10">
        <f>Geral!C33/Geral!$K33</f>
        <v>0.56404234221013116</v>
      </c>
      <c r="D33" s="10">
        <f>Geral!D33/Geral!$K33</f>
        <v>8.2234938349731793E-2</v>
      </c>
      <c r="E33" s="10">
        <f>Geral!E33/Geral!$K33</f>
        <v>1.9293487541667362E-2</v>
      </c>
      <c r="F33" s="10">
        <f>Geral!F33/Geral!$K33</f>
        <v>5.694526735592683E-2</v>
      </c>
      <c r="G33" s="10">
        <f>Geral!G33/Geral!$K33</f>
        <v>0.13151528793068901</v>
      </c>
      <c r="H33" s="10">
        <f>Geral!H33/Geral!$K33</f>
        <v>8.7779085499554321E-2</v>
      </c>
      <c r="I33" s="10">
        <f>Geral!I33/Geral!$K33</f>
        <v>0.5506352345628962</v>
      </c>
      <c r="J33" s="10">
        <f>Geral!J33/Geral!$K33</f>
        <v>0.17312512465093369</v>
      </c>
      <c r="K33" s="10">
        <f>Geral!K33/Geral!$K33</f>
        <v>1</v>
      </c>
    </row>
    <row r="34" spans="1:11" x14ac:dyDescent="0.35">
      <c r="A34" s="2">
        <f>Geral!A34</f>
        <v>46174</v>
      </c>
      <c r="B34" s="10">
        <f>Geral!B34/Geral!$K34</f>
        <v>0.33370420635399428</v>
      </c>
      <c r="C34" s="10">
        <f>Geral!C34/Geral!$K34</f>
        <v>0.56486232950931936</v>
      </c>
      <c r="D34" s="10">
        <f>Geral!D34/Geral!$K34</f>
        <v>8.2029290986265879E-2</v>
      </c>
      <c r="E34" s="10">
        <f>Geral!E34/Geral!$K34</f>
        <v>1.9404173150420478E-2</v>
      </c>
      <c r="F34" s="10">
        <f>Geral!F34/Geral!$K34</f>
        <v>5.6728835484811321E-2</v>
      </c>
      <c r="G34" s="10">
        <f>Geral!G34/Geral!$K34</f>
        <v>0.13201367931979185</v>
      </c>
      <c r="H34" s="10">
        <f>Geral!H34/Geral!$K34</f>
        <v>8.7677928096993124E-2</v>
      </c>
      <c r="I34" s="10">
        <f>Geral!I34/Geral!$K34</f>
        <v>0.55034923620267162</v>
      </c>
      <c r="J34" s="10">
        <f>Geral!J34/Geral!$K34</f>
        <v>0.17323032089573204</v>
      </c>
      <c r="K34" s="10">
        <f>Geral!K34/Geral!$K34</f>
        <v>1</v>
      </c>
    </row>
    <row r="35" spans="1:11" x14ac:dyDescent="0.35">
      <c r="A35" s="2">
        <f>Geral!A35</f>
        <v>46204</v>
      </c>
      <c r="B35" s="10">
        <f>Geral!B35/Geral!$K35</f>
        <v>0.33285592763669641</v>
      </c>
      <c r="C35" s="10">
        <f>Geral!C35/Geral!$K35</f>
        <v>0.56573330476453398</v>
      </c>
      <c r="D35" s="10">
        <f>Geral!D35/Geral!$K35</f>
        <v>8.1893676451938263E-2</v>
      </c>
      <c r="E35" s="10">
        <f>Geral!E35/Geral!$K35</f>
        <v>1.9517091146831266E-2</v>
      </c>
      <c r="F35" s="10">
        <f>Geral!F35/Geral!$K35</f>
        <v>5.6698078610897075E-2</v>
      </c>
      <c r="G35" s="10">
        <f>Geral!G35/Geral!$K35</f>
        <v>0.13158999560937845</v>
      </c>
      <c r="H35" s="10">
        <f>Geral!H35/Geral!$K35</f>
        <v>8.7732653725549989E-2</v>
      </c>
      <c r="I35" s="10">
        <f>Geral!I35/Geral!$K35</f>
        <v>0.5497805604887096</v>
      </c>
      <c r="J35" s="10">
        <f>Geral!J35/Geral!$K35</f>
        <v>0.1741987115654649</v>
      </c>
      <c r="K35" s="10">
        <f>Geral!K35/Geral!$K35</f>
        <v>1</v>
      </c>
    </row>
    <row r="36" spans="1:11" x14ac:dyDescent="0.35">
      <c r="A36" s="2">
        <f>Geral!A36</f>
        <v>46235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5">
      <c r="A37" s="2">
        <f>Geral!A37</f>
        <v>46266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5">
      <c r="A38" s="2">
        <f>Geral!A38</f>
        <v>46296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5">
      <c r="A39" s="2">
        <f>Geral!A39</f>
        <v>46327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x14ac:dyDescent="0.35">
      <c r="A40" s="23">
        <f>Geral!A40</f>
        <v>46357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</sheetData>
  <mergeCells count="4">
    <mergeCell ref="B3:E3"/>
    <mergeCell ref="F3:J3"/>
    <mergeCell ref="K3:K4"/>
    <mergeCell ref="A2:K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"/>
  <sheetViews>
    <sheetView showGridLines="0" workbookViewId="0">
      <pane xSplit="1" ySplit="4" topLeftCell="B31" activePane="bottomRight" state="frozen"/>
      <selection activeCell="B124" sqref="B124"/>
      <selection pane="topRight" activeCell="B124" sqref="B124"/>
      <selection pane="bottomLeft" activeCell="B124" sqref="B124"/>
      <selection pane="bottomRight" activeCell="D35" sqref="D35"/>
    </sheetView>
  </sheetViews>
  <sheetFormatPr defaultRowHeight="14.5" x14ac:dyDescent="0.35"/>
  <cols>
    <col min="1" max="1" width="16.26953125" customWidth="1"/>
    <col min="2" max="2" width="11" customWidth="1"/>
    <col min="3" max="3" width="12" customWidth="1"/>
    <col min="4" max="4" width="10.81640625" customWidth="1"/>
    <col min="5" max="5" width="10.7265625" customWidth="1"/>
    <col min="6" max="6" width="10.453125" customWidth="1"/>
    <col min="7" max="7" width="11.1796875" customWidth="1"/>
    <col min="8" max="8" width="13.453125" customWidth="1"/>
    <col min="9" max="9" width="11.54296875" customWidth="1"/>
    <col min="10" max="10" width="11.1796875" customWidth="1"/>
    <col min="11" max="11" width="12.7265625" customWidth="1"/>
  </cols>
  <sheetData>
    <row r="1" spans="1:11" ht="45.5" customHeight="1" x14ac:dyDescent="0.35"/>
    <row r="2" spans="1:11" x14ac:dyDescent="0.35">
      <c r="A2" s="38" t="s">
        <v>46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x14ac:dyDescent="0.35">
      <c r="A3" s="7"/>
      <c r="B3" s="35" t="s">
        <v>0</v>
      </c>
      <c r="C3" s="35"/>
      <c r="D3" s="35"/>
      <c r="E3" s="35"/>
      <c r="F3" s="35" t="s">
        <v>1</v>
      </c>
      <c r="G3" s="35"/>
      <c r="H3" s="35"/>
      <c r="I3" s="35"/>
      <c r="J3" s="35"/>
      <c r="K3" s="39" t="s">
        <v>2</v>
      </c>
    </row>
    <row r="4" spans="1:11" x14ac:dyDescent="0.35">
      <c r="A4" s="8" t="s">
        <v>43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40"/>
    </row>
    <row r="5" spans="1:11" x14ac:dyDescent="0.35">
      <c r="A5" s="5">
        <f>Geral!A5</f>
        <v>45292</v>
      </c>
      <c r="B5" s="14" t="s">
        <v>12</v>
      </c>
      <c r="C5" s="14" t="s">
        <v>12</v>
      </c>
      <c r="D5" s="14" t="s">
        <v>12</v>
      </c>
      <c r="E5" s="14" t="s">
        <v>12</v>
      </c>
      <c r="F5" s="14" t="s">
        <v>12</v>
      </c>
      <c r="G5" s="14" t="s">
        <v>12</v>
      </c>
      <c r="H5" s="14" t="s">
        <v>12</v>
      </c>
      <c r="I5" s="14" t="s">
        <v>12</v>
      </c>
      <c r="J5" s="14" t="s">
        <v>12</v>
      </c>
      <c r="K5" s="15" t="s">
        <v>12</v>
      </c>
    </row>
    <row r="6" spans="1:11" x14ac:dyDescent="0.35">
      <c r="A6" s="2">
        <f>Geral!A6</f>
        <v>45323</v>
      </c>
      <c r="B6" s="12">
        <f>Geral!B6/Geral!B5-1</f>
        <v>-5.4538785927937816E-3</v>
      </c>
      <c r="C6" s="12">
        <f>Geral!C6/Geral!C5-1</f>
        <v>-3.9115996545502352E-4</v>
      </c>
      <c r="D6" s="12">
        <f>Geral!D6/Geral!D5-1</f>
        <v>-3.8184317066648488E-3</v>
      </c>
      <c r="E6" s="12">
        <f>Geral!E6/Geral!E5-1</f>
        <v>3.2197506004258969E-3</v>
      </c>
      <c r="F6" s="12">
        <f>Geral!F6/Geral!F5-1</f>
        <v>-3.5124867294683559E-3</v>
      </c>
      <c r="G6" s="12">
        <f>Geral!G6/Geral!G5-1</f>
        <v>6.4518902395338529E-3</v>
      </c>
      <c r="H6" s="12">
        <f>Geral!H6/Geral!H5-1</f>
        <v>2.1625360650217029E-3</v>
      </c>
      <c r="I6" s="12">
        <f>Geral!I6/Geral!I5-1</f>
        <v>-6.8623339182033449E-3</v>
      </c>
      <c r="J6" s="12">
        <f>Geral!J6/Geral!J5-1</f>
        <v>1.2149496663704795E-4</v>
      </c>
      <c r="K6" s="13">
        <f>Geral!K6/Geral!K5-1</f>
        <v>-2.5226537808790139E-3</v>
      </c>
    </row>
    <row r="7" spans="1:11" x14ac:dyDescent="0.35">
      <c r="A7" s="2">
        <f>Geral!A7</f>
        <v>45352</v>
      </c>
      <c r="B7" s="12">
        <f>Geral!B7/Geral!B6-1</f>
        <v>5.7422729802469874E-4</v>
      </c>
      <c r="C7" s="12">
        <f>Geral!C7/Geral!C6-1</f>
        <v>5.5539941191586895E-3</v>
      </c>
      <c r="D7" s="12">
        <f>Geral!D7/Geral!D6-1</f>
        <v>3.2275181821019849E-3</v>
      </c>
      <c r="E7" s="12">
        <f>Geral!E7/Geral!E6-1</f>
        <v>4.1084720247552831E-3</v>
      </c>
      <c r="F7" s="12">
        <f>Geral!F7/Geral!F6-1</f>
        <v>6.9675571286855753E-3</v>
      </c>
      <c r="G7" s="12">
        <f>Geral!G7/Geral!G6-1</f>
        <v>8.6533615419441823E-3</v>
      </c>
      <c r="H7" s="12">
        <f>Geral!H7/Geral!H6-1</f>
        <v>-1.0965537660091895E-2</v>
      </c>
      <c r="I7" s="12">
        <f>Geral!I7/Geral!I6-1</f>
        <v>1.8667607141120701E-3</v>
      </c>
      <c r="J7" s="12">
        <f>Geral!J7/Geral!J6-1</f>
        <v>9.7868697250111936E-3</v>
      </c>
      <c r="K7" s="13">
        <f>Geral!K7/Geral!K6-1</f>
        <v>3.4674550363009704E-3</v>
      </c>
    </row>
    <row r="8" spans="1:11" x14ac:dyDescent="0.35">
      <c r="A8" s="2">
        <f>Geral!A8</f>
        <v>45383</v>
      </c>
      <c r="B8" s="12">
        <f>Geral!B8/Geral!B7-1</f>
        <v>5.1175354373445003E-3</v>
      </c>
      <c r="C8" s="12">
        <f>Geral!C8/Geral!C7-1</f>
        <v>1.5008552948895026E-2</v>
      </c>
      <c r="D8" s="12">
        <f>Geral!D8/Geral!D7-1</f>
        <v>5.4490091390690942E-3</v>
      </c>
      <c r="E8" s="12">
        <f>Geral!E8/Geral!E7-1</f>
        <v>5.7262438963445739E-3</v>
      </c>
      <c r="F8" s="12">
        <f>Geral!F8/Geral!F7-1</f>
        <v>1.9204537505537855E-2</v>
      </c>
      <c r="G8" s="12">
        <f>Geral!G8/Geral!G7-1</f>
        <v>1.4463214315287853E-3</v>
      </c>
      <c r="H8" s="12">
        <f>Geral!H8/Geral!H7-1</f>
        <v>4.1848941976764253E-2</v>
      </c>
      <c r="I8" s="12">
        <f>Geral!I8/Geral!I7-1</f>
        <v>8.8870073985056752E-3</v>
      </c>
      <c r="J8" s="12">
        <f>Geral!J8/Geral!J7-1</f>
        <v>5.0040244157436575E-3</v>
      </c>
      <c r="K8" s="13">
        <f>Geral!K8/Geral!K7-1</f>
        <v>1.039883742272063E-2</v>
      </c>
    </row>
    <row r="9" spans="1:11" x14ac:dyDescent="0.35">
      <c r="A9" s="2">
        <f>Geral!A9</f>
        <v>45413</v>
      </c>
      <c r="B9" s="12">
        <f>Geral!B9/Geral!B8-1</f>
        <v>1.6692668947499989E-2</v>
      </c>
      <c r="C9" s="12">
        <f>Geral!C9/Geral!C8-1</f>
        <v>2.3536884221350585E-2</v>
      </c>
      <c r="D9" s="12">
        <f>Geral!D9/Geral!D8-1</f>
        <v>9.0049573682831063E-3</v>
      </c>
      <c r="E9" s="12">
        <f>Geral!E9/Geral!E8-1</f>
        <v>7.8986324910195194E-3</v>
      </c>
      <c r="F9" s="12">
        <f>Geral!F9/Geral!F8-1</f>
        <v>1.2296781388964284E-2</v>
      </c>
      <c r="G9" s="12">
        <f>Geral!G9/Geral!G8-1</f>
        <v>3.015317134499762E-3</v>
      </c>
      <c r="H9" s="12">
        <f>Geral!H9/Geral!H8-1</f>
        <v>9.3990230797842411E-3</v>
      </c>
      <c r="I9" s="12">
        <f>Geral!I9/Geral!I8-1</f>
        <v>3.5694809364890556E-2</v>
      </c>
      <c r="J9" s="12">
        <f>Geral!J9/Geral!J8-1</f>
        <v>-6.4212548380293555E-3</v>
      </c>
      <c r="K9" s="13">
        <f>Geral!K9/Geral!K8-1</f>
        <v>1.9620014865482371E-2</v>
      </c>
    </row>
    <row r="10" spans="1:11" x14ac:dyDescent="0.35">
      <c r="A10" s="2">
        <f>Geral!A10</f>
        <v>45444</v>
      </c>
      <c r="B10" s="12">
        <f>Geral!B10/Geral!B9-1</f>
        <v>2.043009424523623E-3</v>
      </c>
      <c r="C10" s="12">
        <f>Geral!C10/Geral!C9-1</f>
        <v>1.0401182280214805E-2</v>
      </c>
      <c r="D10" s="12">
        <f>Geral!D10/Geral!D9-1</f>
        <v>3.0423350739523514E-3</v>
      </c>
      <c r="E10" s="12">
        <f>Geral!E10/Geral!E9-1</f>
        <v>2.7823997041967141E-2</v>
      </c>
      <c r="F10" s="12">
        <f>Geral!F10/Geral!F9-1</f>
        <v>4.1640182493607458E-3</v>
      </c>
      <c r="G10" s="12">
        <f>Geral!G10/Geral!G9-1</f>
        <v>1.2412852407905905E-3</v>
      </c>
      <c r="H10" s="12">
        <f>Geral!H10/Geral!H9-1</f>
        <v>-8.9342938223095913E-3</v>
      </c>
      <c r="I10" s="12">
        <f>Geral!I10/Geral!I9-1</f>
        <v>1.5695219640719404E-2</v>
      </c>
      <c r="J10" s="12">
        <f>Geral!J10/Geral!J9-1</f>
        <v>-6.2112810862857692E-3</v>
      </c>
      <c r="K10" s="13">
        <f>Geral!K10/Geral!K9-1</f>
        <v>6.9764410726034232E-3</v>
      </c>
    </row>
    <row r="11" spans="1:11" x14ac:dyDescent="0.35">
      <c r="A11" s="2">
        <f>Geral!A11</f>
        <v>45474</v>
      </c>
      <c r="B11" s="12">
        <f>Geral!B11/Geral!B10-1</f>
        <v>-4.2991586583897012E-3</v>
      </c>
      <c r="C11" s="12">
        <f>Geral!C11/Geral!C10-1</f>
        <v>1.772288092420915E-4</v>
      </c>
      <c r="D11" s="12">
        <f>Geral!D11/Geral!D10-1</f>
        <v>-3.6650047086544957E-3</v>
      </c>
      <c r="E11" s="12">
        <f>Geral!E11/Geral!E10-1</f>
        <v>3.0278502263392237E-3</v>
      </c>
      <c r="F11" s="12">
        <f>Geral!F11/Geral!F10-1</f>
        <v>-2.4475396599887844E-4</v>
      </c>
      <c r="G11" s="12">
        <f>Geral!G11/Geral!G10-1</f>
        <v>-7.5460787992144285E-3</v>
      </c>
      <c r="H11" s="12">
        <f>Geral!H11/Geral!H10-1</f>
        <v>5.4800893025483965E-3</v>
      </c>
      <c r="I11" s="12">
        <f>Geral!I11/Geral!I10-1</f>
        <v>-3.4567100606875956E-3</v>
      </c>
      <c r="J11" s="12">
        <f>Geral!J11/Geral!J10-1</f>
        <v>5.5746755402210635E-3</v>
      </c>
      <c r="K11" s="13">
        <f>Geral!K11/Geral!K10-1</f>
        <v>-1.7365839431622287E-3</v>
      </c>
    </row>
    <row r="12" spans="1:11" x14ac:dyDescent="0.35">
      <c r="A12" s="2">
        <f>Geral!A12</f>
        <v>45505</v>
      </c>
      <c r="B12" s="12">
        <f>Geral!B12/Geral!B11-1</f>
        <v>-4.5867792638786264E-3</v>
      </c>
      <c r="C12" s="12">
        <f>Geral!C12/Geral!C11-1</f>
        <v>-2.8808132019770838E-3</v>
      </c>
      <c r="D12" s="12">
        <f>Geral!D12/Geral!D11-1</f>
        <v>-6.407685949736952E-3</v>
      </c>
      <c r="E12" s="12">
        <f>Geral!E12/Geral!E11-1</f>
        <v>1.0062366748360141E-3</v>
      </c>
      <c r="F12" s="12">
        <f>Geral!F12/Geral!F11-1</f>
        <v>4.3250453046386195E-3</v>
      </c>
      <c r="G12" s="12">
        <f>Geral!G12/Geral!G11-1</f>
        <v>-4.3452355138389187E-3</v>
      </c>
      <c r="H12" s="12">
        <f>Geral!H12/Geral!H11-1</f>
        <v>3.0072605363649085E-3</v>
      </c>
      <c r="I12" s="12">
        <f>Geral!I12/Geral!I11-1</f>
        <v>-5.8051737549449367E-3</v>
      </c>
      <c r="J12" s="12">
        <f>Geral!J12/Geral!J11-1</f>
        <v>-2.5393800047266435E-3</v>
      </c>
      <c r="K12" s="13">
        <f>Geral!K12/Geral!K11-1</f>
        <v>-3.7198114407601679E-3</v>
      </c>
    </row>
    <row r="13" spans="1:11" x14ac:dyDescent="0.35">
      <c r="A13" s="2">
        <f>Geral!A13</f>
        <v>45536</v>
      </c>
      <c r="B13" s="12">
        <f>Geral!B13/Geral!B12-1</f>
        <v>2.9160658896572045E-3</v>
      </c>
      <c r="C13" s="12">
        <f>Geral!C13/Geral!C12-1</f>
        <v>6.3231334079274504E-3</v>
      </c>
      <c r="D13" s="12">
        <f>Geral!D13/Geral!D12-1</f>
        <v>2.3329270100647115E-3</v>
      </c>
      <c r="E13" s="12">
        <f>Geral!E13/Geral!E12-1</f>
        <v>2.4583229659118633E-3</v>
      </c>
      <c r="F13" s="12">
        <f>Geral!F13/Geral!F12-1</f>
        <v>2.4431998072338423E-3</v>
      </c>
      <c r="G13" s="12">
        <f>Geral!G13/Geral!G12-1</f>
        <v>4.9844095169648828E-3</v>
      </c>
      <c r="H13" s="12">
        <f>Geral!H13/Geral!H12-1</f>
        <v>7.8118584395503454E-3</v>
      </c>
      <c r="I13" s="12">
        <f>Geral!I13/Geral!I12-1</f>
        <v>4.3876724960207891E-3</v>
      </c>
      <c r="J13" s="12">
        <f>Geral!J13/Geral!J12-1</f>
        <v>4.508466804734379E-3</v>
      </c>
      <c r="K13" s="13">
        <f>Geral!K13/Geral!K12-1</f>
        <v>4.6990838249709732E-3</v>
      </c>
    </row>
    <row r="14" spans="1:11" x14ac:dyDescent="0.35">
      <c r="A14" s="2">
        <f>Geral!A14</f>
        <v>45566</v>
      </c>
      <c r="B14" s="12">
        <f>Geral!B14/Geral!B13-1</f>
        <v>5.0260665975525587E-3</v>
      </c>
      <c r="C14" s="12">
        <f>Geral!C14/Geral!C13-1</f>
        <v>1.143302869902052E-2</v>
      </c>
      <c r="D14" s="12">
        <f>Geral!D14/Geral!D13-1</f>
        <v>5.6862418830334605E-3</v>
      </c>
      <c r="E14" s="12">
        <f>Geral!E14/Geral!E13-1</f>
        <v>5.5002879212089351E-3</v>
      </c>
      <c r="F14" s="12">
        <f>Geral!F14/Geral!F13-1</f>
        <v>1.0106741274690467E-2</v>
      </c>
      <c r="G14" s="12">
        <f>Geral!G14/Geral!G13-1</f>
        <v>1.0873815313791724E-2</v>
      </c>
      <c r="H14" s="12">
        <f>Geral!H14/Geral!H13-1</f>
        <v>1.3514075789780255E-2</v>
      </c>
      <c r="I14" s="12">
        <f>Geral!I14/Geral!I13-1</f>
        <v>8.3206470548007339E-3</v>
      </c>
      <c r="J14" s="12">
        <f>Geral!J14/Geral!J13-1</f>
        <v>3.6068194384362151E-3</v>
      </c>
      <c r="K14" s="13">
        <f>Geral!K14/Geral!K13-1</f>
        <v>8.5365227382299125E-3</v>
      </c>
    </row>
    <row r="15" spans="1:11" x14ac:dyDescent="0.35">
      <c r="A15" s="2">
        <f>Geral!A15</f>
        <v>45597</v>
      </c>
      <c r="B15" s="12">
        <f>Geral!B15/Geral!B14-1</f>
        <v>2.6586085819917393E-3</v>
      </c>
      <c r="C15" s="12">
        <f>Geral!C15/Geral!C14-1</f>
        <v>-2.2788085035556072E-2</v>
      </c>
      <c r="D15" s="12">
        <f>Geral!D15/Geral!D14-1</f>
        <v>0.10165721254113413</v>
      </c>
      <c r="E15" s="12">
        <f>Geral!E15/Geral!E14-1</f>
        <v>0.19259251945179501</v>
      </c>
      <c r="F15" s="12">
        <f>Geral!F15/Geral!F14-1</f>
        <v>3.2319028658234217E-3</v>
      </c>
      <c r="G15" s="12">
        <f>Geral!G15/Geral!G14-1</f>
        <v>-2.1412100684314872E-2</v>
      </c>
      <c r="H15" s="12">
        <f>Geral!H15/Geral!H14-1</f>
        <v>-4.6459037873695097E-3</v>
      </c>
      <c r="I15" s="12">
        <f>Geral!I15/Geral!I14-1</f>
        <v>7.5329963993564508E-3</v>
      </c>
      <c r="J15" s="12">
        <f>Geral!J15/Geral!J14-1</f>
        <v>-6.8784730151481011E-3</v>
      </c>
      <c r="K15" s="13">
        <f>Geral!K15/Geral!K14-1</f>
        <v>-8.0803155396658166E-4</v>
      </c>
    </row>
    <row r="16" spans="1:11" x14ac:dyDescent="0.35">
      <c r="A16" s="23">
        <f>Geral!A16</f>
        <v>45627</v>
      </c>
      <c r="B16" s="21">
        <f>Geral!B16/Geral!B15-1</f>
        <v>-4.5987978559453024E-3</v>
      </c>
      <c r="C16" s="21">
        <f>Geral!C16/Geral!C15-1</f>
        <v>-6.2576980475115285E-4</v>
      </c>
      <c r="D16" s="21">
        <f>Geral!D16/Geral!D15-1</f>
        <v>-5.0656006408021925E-3</v>
      </c>
      <c r="E16" s="21">
        <f>Geral!E16/Geral!E15-1</f>
        <v>7.8737549780181215E-3</v>
      </c>
      <c r="F16" s="21">
        <f>Geral!F16/Geral!F15-1</f>
        <v>-1.1810296084839966E-2</v>
      </c>
      <c r="G16" s="21">
        <f>Geral!G16/Geral!G15-1</f>
        <v>-8.0881967759601769E-3</v>
      </c>
      <c r="H16" s="21">
        <f>Geral!H16/Geral!H15-1</f>
        <v>1.9838971618103329E-2</v>
      </c>
      <c r="I16" s="21">
        <f>Geral!I16/Geral!I15-1</f>
        <v>-2.7613972336246739E-3</v>
      </c>
      <c r="J16" s="21">
        <f>Geral!J16/Geral!J15-1</f>
        <v>-3.9991147144234906E-3</v>
      </c>
      <c r="K16" s="22">
        <f>Geral!K16/Geral!K15-1</f>
        <v>-2.3072470558526126E-3</v>
      </c>
    </row>
    <row r="17" spans="1:11" x14ac:dyDescent="0.35">
      <c r="A17" s="5">
        <f>Geral!A17</f>
        <v>45658</v>
      </c>
      <c r="B17" s="14">
        <f>Geral!B17/Geral!B16-1</f>
        <v>9.8726613368498306E-3</v>
      </c>
      <c r="C17" s="14">
        <f>Geral!C17/Geral!C16-1</f>
        <v>1.9395464689665687E-2</v>
      </c>
      <c r="D17" s="14">
        <f>Geral!D17/Geral!D16-1</f>
        <v>1.7025971315263844E-2</v>
      </c>
      <c r="E17" s="14">
        <f>Geral!E17/Geral!E16-1</f>
        <v>1.3414714290408414E-2</v>
      </c>
      <c r="F17" s="14">
        <f>Geral!F17/Geral!F16-1</f>
        <v>2.7386172383283558E-2</v>
      </c>
      <c r="G17" s="14">
        <f>Geral!G17/Geral!G16-1</f>
        <v>1.9797721024780168E-2</v>
      </c>
      <c r="H17" s="14">
        <f>Geral!H17/Geral!H16-1</f>
        <v>-3.0281634365694976E-2</v>
      </c>
      <c r="I17" s="14">
        <f>Geral!I17/Geral!I16-1</f>
        <v>2.083518872211032E-2</v>
      </c>
      <c r="J17" s="14">
        <f>Geral!J17/Geral!J16-1</f>
        <v>1.5561436265639994E-2</v>
      </c>
      <c r="K17" s="15">
        <f>Geral!K17/Geral!K16-1</f>
        <v>1.5567202584505946E-2</v>
      </c>
    </row>
    <row r="18" spans="1:11" x14ac:dyDescent="0.35">
      <c r="A18" s="2">
        <f>Geral!A18</f>
        <v>45689</v>
      </c>
      <c r="B18" s="12">
        <f>Geral!B18/Geral!B17-1</f>
        <v>9.7133019146260491E-3</v>
      </c>
      <c r="C18" s="12">
        <f>Geral!C18/Geral!C17-1</f>
        <v>2.6379339803412449E-2</v>
      </c>
      <c r="D18" s="12">
        <f>Geral!D18/Geral!D17-1</f>
        <v>1.8065776357452767E-2</v>
      </c>
      <c r="E18" s="12">
        <f>Geral!E18/Geral!E17-1</f>
        <v>2.2080817087504645E-2</v>
      </c>
      <c r="F18" s="12">
        <f>Geral!F18/Geral!F17-1</f>
        <v>2.1953571768157598E-2</v>
      </c>
      <c r="G18" s="12">
        <f>Geral!G18/Geral!G17-1</f>
        <v>1.5010578588033896E-2</v>
      </c>
      <c r="H18" s="12">
        <f>Geral!H18/Geral!H17-1</f>
        <v>2.3329203296846623E-2</v>
      </c>
      <c r="I18" s="12">
        <f>Geral!I18/Geral!I17-1</f>
        <v>2.0833923738048155E-2</v>
      </c>
      <c r="J18" s="12">
        <f>Geral!J18/Geral!J17-1</f>
        <v>1.6442588758153187E-2</v>
      </c>
      <c r="K18" s="13">
        <f>Geral!K18/Geral!K17-1</f>
        <v>1.9486785280227625E-2</v>
      </c>
    </row>
    <row r="19" spans="1:11" x14ac:dyDescent="0.35">
      <c r="A19" s="2">
        <f>Geral!A19</f>
        <v>45717</v>
      </c>
      <c r="B19" s="12">
        <f>Geral!B19/Geral!B18-1</f>
        <v>1.4402512164761738E-2</v>
      </c>
      <c r="C19" s="12">
        <f>Geral!C19/Geral!C18-1</f>
        <v>2.5073727644385979E-2</v>
      </c>
      <c r="D19" s="12">
        <f>Geral!D19/Geral!D18-1</f>
        <v>1.8528151306635987E-2</v>
      </c>
      <c r="E19" s="12">
        <f>Geral!E19/Geral!E18-1</f>
        <v>2.1905162226681263E-2</v>
      </c>
      <c r="F19" s="12">
        <f>Geral!F19/Geral!F18-1</f>
        <v>2.4031304495767847E-2</v>
      </c>
      <c r="G19" s="12">
        <f>Geral!G19/Geral!G18-1</f>
        <v>1.9528883768261895E-2</v>
      </c>
      <c r="H19" s="12">
        <f>Geral!H19/Geral!H18-1</f>
        <v>2.3885858675053218E-2</v>
      </c>
      <c r="I19" s="12">
        <f>Geral!I19/Geral!I18-1</f>
        <v>1.943192172906727E-2</v>
      </c>
      <c r="J19" s="12">
        <f>Geral!J19/Geral!J18-1</f>
        <v>2.2611274139333615E-2</v>
      </c>
      <c r="K19" s="13">
        <f>Geral!K19/Geral!K18-1</f>
        <v>2.0590814210384778E-2</v>
      </c>
    </row>
    <row r="20" spans="1:11" x14ac:dyDescent="0.35">
      <c r="A20" s="2">
        <f>Geral!A20</f>
        <v>45748</v>
      </c>
      <c r="B20" s="12">
        <f>Geral!B20/Geral!B19-1</f>
        <v>1.8495639636222583E-2</v>
      </c>
      <c r="C20" s="12">
        <f>Geral!C20/Geral!C19-1</f>
        <v>3.484010513634872E-2</v>
      </c>
      <c r="D20" s="12">
        <f>Geral!D20/Geral!D19-1</f>
        <v>2.9557451124883061E-2</v>
      </c>
      <c r="E20" s="12">
        <f>Geral!E20/Geral!E19-1</f>
        <v>2.8342814568765418E-2</v>
      </c>
      <c r="F20" s="12">
        <f>Geral!F20/Geral!F19-1</f>
        <v>2.7555968599435099E-2</v>
      </c>
      <c r="G20" s="12">
        <f>Geral!G20/Geral!G19-1</f>
        <v>2.3730602477605611E-2</v>
      </c>
      <c r="H20" s="12">
        <f>Geral!H20/Geral!H19-1</f>
        <v>2.6103325317190507E-2</v>
      </c>
      <c r="I20" s="12">
        <f>Geral!I20/Geral!I19-1</f>
        <v>2.7577624893575292E-2</v>
      </c>
      <c r="J20" s="12">
        <f>Geral!J20/Geral!J19-1</f>
        <v>3.7241298866276029E-2</v>
      </c>
      <c r="K20" s="13">
        <f>Geral!K20/Geral!K19-1</f>
        <v>2.8368250911917636E-2</v>
      </c>
    </row>
    <row r="21" spans="1:11" x14ac:dyDescent="0.35">
      <c r="A21" s="2">
        <f>Geral!A21</f>
        <v>45778</v>
      </c>
      <c r="B21" s="12">
        <f>Geral!B21/Geral!B20-1</f>
        <v>1.0270217620650168E-2</v>
      </c>
      <c r="C21" s="12">
        <f>Geral!C21/Geral!C20-1</f>
        <v>2.7081302008719055E-2</v>
      </c>
      <c r="D21" s="12">
        <f>Geral!D21/Geral!D20-1</f>
        <v>2.3909771080677045E-2</v>
      </c>
      <c r="E21" s="12">
        <f>Geral!E21/Geral!E20-1</f>
        <v>2.1184426012995861E-2</v>
      </c>
      <c r="F21" s="12">
        <f>Geral!F21/Geral!F20-1</f>
        <v>1.7840947272952379E-2</v>
      </c>
      <c r="G21" s="12">
        <f>Geral!G21/Geral!G20-1</f>
        <v>1.3992210650184855E-2</v>
      </c>
      <c r="H21" s="12">
        <f>Geral!H21/Geral!H20-1</f>
        <v>2.9046904018012354E-2</v>
      </c>
      <c r="I21" s="12">
        <f>Geral!I21/Geral!I20-1</f>
        <v>1.9142592280815496E-2</v>
      </c>
      <c r="J21" s="12">
        <f>Geral!J21/Geral!J20-1</f>
        <v>2.8942457723611481E-2</v>
      </c>
      <c r="K21" s="13">
        <f>Geral!K21/Geral!K20-1</f>
        <v>2.0682148753419227E-2</v>
      </c>
    </row>
    <row r="22" spans="1:11" x14ac:dyDescent="0.35">
      <c r="A22" s="2">
        <f>Geral!A22</f>
        <v>45809</v>
      </c>
      <c r="B22" s="12">
        <f>Geral!B22/Geral!B21-1</f>
        <v>9.2160224511321776E-3</v>
      </c>
      <c r="C22" s="12">
        <f>Geral!C22/Geral!C21-1</f>
        <v>1.8025592173849692E-2</v>
      </c>
      <c r="D22" s="12">
        <f>Geral!D22/Geral!D21-1</f>
        <v>1.4644523307020263E-2</v>
      </c>
      <c r="E22" s="12">
        <f>Geral!E22/Geral!E21-1</f>
        <v>1.9776808809400581E-2</v>
      </c>
      <c r="F22" s="12">
        <f>Geral!F22/Geral!F21-1</f>
        <v>1.4686281469273421E-2</v>
      </c>
      <c r="G22" s="12">
        <f>Geral!G22/Geral!G21-1</f>
        <v>8.0535100874858934E-3</v>
      </c>
      <c r="H22" s="12">
        <f>Geral!H22/Geral!H21-1</f>
        <v>1.7817987622906983E-2</v>
      </c>
      <c r="I22" s="12">
        <f>Geral!I22/Geral!I21-1</f>
        <v>1.3511253556968361E-2</v>
      </c>
      <c r="J22" s="12">
        <f>Geral!J22/Geral!J21-1</f>
        <v>2.3174320997773945E-2</v>
      </c>
      <c r="K22" s="13">
        <f>Geral!K22/Geral!K21-1</f>
        <v>1.4653078680718412E-2</v>
      </c>
    </row>
    <row r="23" spans="1:11" x14ac:dyDescent="0.35">
      <c r="A23" s="2">
        <f>Geral!A23</f>
        <v>45839</v>
      </c>
      <c r="B23" s="12">
        <f>Geral!B23/Geral!B22-1</f>
        <v>1.9709354922619715E-2</v>
      </c>
      <c r="C23" s="12">
        <f>Geral!C23/Geral!C22-1</f>
        <v>3.2866594906553415E-2</v>
      </c>
      <c r="D23" s="12">
        <f>Geral!D23/Geral!D22-1</f>
        <v>2.6617741085427582E-2</v>
      </c>
      <c r="E23" s="12">
        <f>Geral!E23/Geral!E22-1</f>
        <v>2.5893931268389458E-2</v>
      </c>
      <c r="F23" s="12">
        <f>Geral!F23/Geral!F22-1</f>
        <v>8.6279689831461948E-2</v>
      </c>
      <c r="G23" s="12">
        <f>Geral!G23/Geral!G22-1</f>
        <v>2.1611102754037326E-2</v>
      </c>
      <c r="H23" s="12">
        <f>Geral!H23/Geral!H22-1</f>
        <v>2.6839340497898156E-2</v>
      </c>
      <c r="I23" s="12">
        <f>Geral!I23/Geral!I22-1</f>
        <v>2.2639961303769107E-2</v>
      </c>
      <c r="J23" s="12">
        <f>Geral!J23/Geral!J22-1</f>
        <v>3.0056546397086548E-2</v>
      </c>
      <c r="K23" s="13">
        <f>Geral!K23/Geral!K22-1</f>
        <v>2.757737685549988E-2</v>
      </c>
    </row>
    <row r="24" spans="1:11" x14ac:dyDescent="0.35">
      <c r="A24" s="2">
        <f>Geral!A24</f>
        <v>45870</v>
      </c>
      <c r="B24" s="12">
        <f>Geral!B24/Geral!B23-1</f>
        <v>8.6058280188874292E-3</v>
      </c>
      <c r="C24" s="12">
        <f>Geral!C24/Geral!C23-1</f>
        <v>1.8392418510444042E-2</v>
      </c>
      <c r="D24" s="12">
        <f>Geral!D24/Geral!D23-1</f>
        <v>1.4870032057471727E-2</v>
      </c>
      <c r="E24" s="12">
        <f>Geral!E24/Geral!E23-1</f>
        <v>1.7837085596818181E-2</v>
      </c>
      <c r="F24" s="12">
        <f>Geral!F24/Geral!F23-1</f>
        <v>3.0001215991641184E-2</v>
      </c>
      <c r="G24" s="12">
        <f>Geral!G24/Geral!G23-1</f>
        <v>5.3978556673655032E-3</v>
      </c>
      <c r="H24" s="12">
        <f>Geral!H24/Geral!H23-1</f>
        <v>1.5554647157482115E-2</v>
      </c>
      <c r="I24" s="12">
        <f>Geral!I24/Geral!I23-1</f>
        <v>1.4418332600351969E-2</v>
      </c>
      <c r="J24" s="12">
        <f>Geral!J24/Geral!J23-1</f>
        <v>1.8294209385696591E-2</v>
      </c>
      <c r="K24" s="13">
        <f>Geral!K24/Geral!K23-1</f>
        <v>1.4663841181429715E-2</v>
      </c>
    </row>
    <row r="25" spans="1:11" x14ac:dyDescent="0.35">
      <c r="A25" s="2">
        <f>Geral!A25</f>
        <v>45901</v>
      </c>
      <c r="B25" s="12">
        <f>Geral!B25/Geral!B24-1</f>
        <v>2.3366457481806213E-2</v>
      </c>
      <c r="C25" s="12">
        <f>Geral!C25/Geral!C24-1</f>
        <v>4.0475122438554223E-2</v>
      </c>
      <c r="D25" s="12">
        <f>Geral!D25/Geral!D24-1</f>
        <v>3.6095993809306393E-2</v>
      </c>
      <c r="E25" s="12">
        <f>Geral!E25/Geral!E24-1</f>
        <v>3.2411648760445333E-2</v>
      </c>
      <c r="F25" s="12">
        <f>Geral!F25/Geral!F24-1</f>
        <v>3.8947978268711436E-2</v>
      </c>
      <c r="G25" s="12">
        <f>Geral!G25/Geral!G24-1</f>
        <v>3.1526692418982316E-2</v>
      </c>
      <c r="H25" s="12">
        <f>Geral!H25/Geral!H24-1</f>
        <v>3.1443767332695938E-2</v>
      </c>
      <c r="I25" s="12">
        <f>Geral!I25/Geral!I24-1</f>
        <v>3.3539538631305321E-2</v>
      </c>
      <c r="J25" s="12">
        <f>Geral!J25/Geral!J24-1</f>
        <v>3.7442736370102425E-2</v>
      </c>
      <c r="K25" s="13">
        <f>Geral!K25/Geral!K24-1</f>
        <v>3.4005512560104867E-2</v>
      </c>
    </row>
    <row r="26" spans="1:11" x14ac:dyDescent="0.35">
      <c r="A26" s="2">
        <f>Geral!A26</f>
        <v>45931</v>
      </c>
      <c r="B26" s="12">
        <f>Geral!B26/Geral!B25-1</f>
        <v>2.5768017490947148E-2</v>
      </c>
      <c r="C26" s="12">
        <f>Geral!C26/Geral!C25-1</f>
        <v>3.8265486533094695E-2</v>
      </c>
      <c r="D26" s="12">
        <f>Geral!D26/Geral!D25-1</f>
        <v>3.4774184365467864E-2</v>
      </c>
      <c r="E26" s="12">
        <f>Geral!E26/Geral!E25-1</f>
        <v>3.5078048321389721E-2</v>
      </c>
      <c r="F26" s="12">
        <f>Geral!F26/Geral!F25-1</f>
        <v>3.6004376920163228E-2</v>
      </c>
      <c r="G26" s="12">
        <f>Geral!G26/Geral!G25-1</f>
        <v>3.4362089595845413E-2</v>
      </c>
      <c r="H26" s="12">
        <f>Geral!H26/Geral!H25-1</f>
        <v>3.6344645721483992E-2</v>
      </c>
      <c r="I26" s="12">
        <f>Geral!I26/Geral!I25-1</f>
        <v>3.1996248238429281E-2</v>
      </c>
      <c r="J26" s="12">
        <f>Geral!J26/Geral!J25-1</f>
        <v>3.5851339910181856E-2</v>
      </c>
      <c r="K26" s="13">
        <f>Geral!K26/Geral!K25-1</f>
        <v>3.3610536963535109E-2</v>
      </c>
    </row>
    <row r="27" spans="1:11" x14ac:dyDescent="0.35">
      <c r="A27" s="2">
        <f>Geral!A27</f>
        <v>45962</v>
      </c>
      <c r="B27" s="12">
        <f>Geral!B27/Geral!B26-1</f>
        <v>1.5359341135365856E-2</v>
      </c>
      <c r="C27" s="12">
        <f>Geral!C27/Geral!C26-1</f>
        <v>2.9885253202693196E-2</v>
      </c>
      <c r="D27" s="12">
        <f>Geral!D27/Geral!D26-1</f>
        <v>2.8417057629846143E-2</v>
      </c>
      <c r="E27" s="12">
        <f>Geral!E27/Geral!E26-1</f>
        <v>2.8212921829943172E-2</v>
      </c>
      <c r="F27" s="12">
        <f>Geral!F27/Geral!F26-1</f>
        <v>2.8151849369325355E-2</v>
      </c>
      <c r="G27" s="12">
        <f>Geral!G27/Geral!G26-1</f>
        <v>2.3083014113383094E-2</v>
      </c>
      <c r="H27" s="12">
        <f>Geral!H27/Geral!H26-1</f>
        <v>2.5715535644570409E-2</v>
      </c>
      <c r="I27" s="12">
        <f>Geral!I27/Geral!I26-1</f>
        <v>2.4978881160722333E-2</v>
      </c>
      <c r="J27" s="12">
        <f>Geral!J27/Geral!J26-1</f>
        <v>2.3884351792418324E-2</v>
      </c>
      <c r="K27" s="13">
        <f>Geral!K27/Geral!K26-1</f>
        <v>2.4763233172268695E-2</v>
      </c>
    </row>
    <row r="28" spans="1:11" x14ac:dyDescent="0.35">
      <c r="A28" s="23">
        <f>Geral!A28</f>
        <v>45992</v>
      </c>
      <c r="B28" s="21">
        <f>Geral!B28/Geral!B27-1</f>
        <v>8.6071519192236767E-3</v>
      </c>
      <c r="C28" s="21">
        <f>Geral!C28/Geral!C27-1</f>
        <v>9.1919082717000222E-3</v>
      </c>
      <c r="D28" s="21">
        <f>Geral!D28/Geral!D27-1</f>
        <v>9.8271158213256715E-3</v>
      </c>
      <c r="E28" s="21">
        <f>Geral!E28/Geral!E27-1</f>
        <v>1.3820460345132624E-2</v>
      </c>
      <c r="F28" s="21">
        <f>Geral!F28/Geral!F27-1</f>
        <v>7.5939864477765351E-3</v>
      </c>
      <c r="G28" s="21">
        <f>Geral!G28/Geral!G27-1</f>
        <v>7.1278065108026922E-3</v>
      </c>
      <c r="H28" s="21">
        <f>Geral!H28/Geral!H27-1</f>
        <v>1.3007135906146772E-2</v>
      </c>
      <c r="I28" s="21">
        <f>Geral!I28/Geral!I27-1</f>
        <v>9.171849868568005E-3</v>
      </c>
      <c r="J28" s="21">
        <f>Geral!J28/Geral!J27-1</f>
        <v>9.36385105186055E-3</v>
      </c>
      <c r="K28" s="22">
        <f>Geral!K28/Geral!K27-1</f>
        <v>9.1330160380678205E-3</v>
      </c>
    </row>
    <row r="29" spans="1:11" x14ac:dyDescent="0.35">
      <c r="A29" s="5">
        <f>Geral!A29</f>
        <v>46023</v>
      </c>
      <c r="B29" s="14">
        <f>Geral!B29/Geral!B28-1</f>
        <v>-2.5249595054318896E-2</v>
      </c>
      <c r="C29" s="14">
        <f>Geral!C29/Geral!C28-1</f>
        <v>-2.4509680362764685E-2</v>
      </c>
      <c r="D29" s="14">
        <f>Geral!D29/Geral!D28-1</f>
        <v>-2.7535270040475401E-2</v>
      </c>
      <c r="E29" s="14">
        <f>Geral!E29/Geral!E28-1</f>
        <v>-1.9121018790808963E-2</v>
      </c>
      <c r="F29" s="14">
        <f>Geral!F29/Geral!F28-1</f>
        <v>-8.0373073167671172E-2</v>
      </c>
      <c r="G29" s="14">
        <f>Geral!G29/Geral!G28-1</f>
        <v>-0.14869079227011472</v>
      </c>
      <c r="H29" s="14">
        <f>Geral!H29/Geral!H28-1</f>
        <v>-4.1390309351425292E-2</v>
      </c>
      <c r="I29" s="14">
        <f>Geral!I29/Geral!I28-1</f>
        <v>7.6531542916167261E-3</v>
      </c>
      <c r="J29" s="14">
        <f>Geral!J29/Geral!J28-1</f>
        <v>1.3237072399149508E-2</v>
      </c>
      <c r="K29" s="15">
        <f>Geral!K29/Geral!K28-1</f>
        <v>-2.490847469424351E-2</v>
      </c>
    </row>
    <row r="30" spans="1:11" x14ac:dyDescent="0.35">
      <c r="A30" s="2">
        <f>Geral!A30</f>
        <v>46054</v>
      </c>
      <c r="B30" s="12">
        <f>Geral!B30/Geral!B29-1</f>
        <v>6.5255729411035635E-3</v>
      </c>
      <c r="C30" s="12">
        <f>Geral!C30/Geral!C29-1</f>
        <v>1.4148313758979958E-2</v>
      </c>
      <c r="D30" s="12">
        <f>Geral!D30/Geral!D29-1</f>
        <v>1.1291409156146459E-2</v>
      </c>
      <c r="E30" s="12">
        <f>Geral!E30/Geral!E29-1</f>
        <v>1.3586559532505538E-2</v>
      </c>
      <c r="F30" s="12">
        <f>Geral!F30/Geral!F29-1</f>
        <v>9.8115090152033346E-3</v>
      </c>
      <c r="G30" s="12">
        <f>Geral!G30/Geral!G29-1</f>
        <v>7.0779186125289328E-3</v>
      </c>
      <c r="H30" s="12">
        <f>Geral!H30/Geral!H29-1</f>
        <v>1.5496064480529537E-2</v>
      </c>
      <c r="I30" s="12">
        <f>Geral!I30/Geral!I29-1</f>
        <v>1.0800499806651098E-2</v>
      </c>
      <c r="J30" s="12">
        <f>Geral!J30/Geral!J29-1</f>
        <v>1.4698749863900407E-2</v>
      </c>
      <c r="K30" s="13">
        <f>Geral!K30/Geral!K29-1</f>
        <v>1.1320508102544702E-2</v>
      </c>
    </row>
    <row r="31" spans="1:11" x14ac:dyDescent="0.35">
      <c r="A31" s="2">
        <f>Geral!A31</f>
        <v>46082</v>
      </c>
      <c r="B31" s="12">
        <f>Geral!B31/Geral!B30-1</f>
        <v>2.9365859420895646E-3</v>
      </c>
      <c r="C31" s="12">
        <f>Geral!C31/Geral!C30-1</f>
        <v>8.5632213560129511E-3</v>
      </c>
      <c r="D31" s="12">
        <f>Geral!D31/Geral!D30-1</f>
        <v>7.068483628517308E-3</v>
      </c>
      <c r="E31" s="12">
        <f>Geral!E31/Geral!E30-1</f>
        <v>1.1361499993733259E-2</v>
      </c>
      <c r="F31" s="12">
        <f>Geral!F31/Geral!F30-1</f>
        <v>1.1778913654376888E-2</v>
      </c>
      <c r="G31" s="12">
        <f>Geral!G31/Geral!G30-1</f>
        <v>3.7013551576465797E-3</v>
      </c>
      <c r="H31" s="12">
        <f>Geral!H31/Geral!H30-1</f>
        <v>8.3709496839678987E-3</v>
      </c>
      <c r="I31" s="12">
        <f>Geral!I31/Geral!I30-1</f>
        <v>5.1731656515610069E-3</v>
      </c>
      <c r="J31" s="12">
        <f>Geral!J31/Geral!J30-1</f>
        <v>1.0825699068280459E-2</v>
      </c>
      <c r="K31" s="13">
        <f>Geral!K31/Geral!K30-1</f>
        <v>6.5966165633162266E-3</v>
      </c>
    </row>
    <row r="32" spans="1:11" x14ac:dyDescent="0.35">
      <c r="A32" s="2">
        <f>Geral!A32</f>
        <v>46113</v>
      </c>
      <c r="B32" s="12">
        <f>Geral!B32/Geral!B31-1</f>
        <v>7.6114278621139952E-3</v>
      </c>
      <c r="C32" s="12">
        <f>Geral!C32/Geral!C31-1</f>
        <v>1.074266692827397E-2</v>
      </c>
      <c r="D32" s="12">
        <f>Geral!D32/Geral!D31-1</f>
        <v>8.3878454611732156E-3</v>
      </c>
      <c r="E32" s="12">
        <f>Geral!E32/Geral!E31-1</f>
        <v>1.3662810511379408E-2</v>
      </c>
      <c r="F32" s="12">
        <f>Geral!F32/Geral!F31-1</f>
        <v>9.5863712433903459E-3</v>
      </c>
      <c r="G32" s="12">
        <f>Geral!G32/Geral!G31-1</f>
        <v>8.598680801827685E-3</v>
      </c>
      <c r="H32" s="12">
        <f>Geral!H32/Geral!H31-1</f>
        <v>1.1337816157168445E-2</v>
      </c>
      <c r="I32" s="12">
        <f>Geral!I32/Geral!I31-1</f>
        <v>8.2095658916192527E-3</v>
      </c>
      <c r="J32" s="12">
        <f>Geral!J32/Geral!J31-1</f>
        <v>1.3683427619003652E-2</v>
      </c>
      <c r="K32" s="13">
        <f>Geral!K32/Geral!K31-1</f>
        <v>9.55279723518343E-3</v>
      </c>
    </row>
    <row r="33" spans="1:11" x14ac:dyDescent="0.35">
      <c r="A33" s="2">
        <f>Geral!A33</f>
        <v>46143</v>
      </c>
      <c r="B33" s="12">
        <f>Geral!B33/Geral!B32-1</f>
        <v>4.1066453879858855E-3</v>
      </c>
      <c r="C33" s="12">
        <f>Geral!C33/Geral!C32-1</f>
        <v>7.8610283821407556E-3</v>
      </c>
      <c r="D33" s="12">
        <f>Geral!D33/Geral!D32-1</f>
        <v>6.0549537678753484E-3</v>
      </c>
      <c r="E33" s="12">
        <f>Geral!E33/Geral!E32-1</f>
        <v>1.1773191843121866E-2</v>
      </c>
      <c r="F33" s="12">
        <f>Geral!F33/Geral!F32-1</f>
        <v>9.7454404153645147E-3</v>
      </c>
      <c r="G33" s="12">
        <f>Geral!G33/Geral!G32-1</f>
        <v>1.0274100217726456E-3</v>
      </c>
      <c r="H33" s="12">
        <f>Geral!H33/Geral!H32-1</f>
        <v>1.0685943059304259E-2</v>
      </c>
      <c r="I33" s="12">
        <f>Geral!I33/Geral!I32-1</f>
        <v>5.783620541348844E-3</v>
      </c>
      <c r="J33" s="12">
        <f>Geral!J33/Geral!J32-1</f>
        <v>9.9613486886842573E-3</v>
      </c>
      <c r="K33" s="13">
        <f>Geral!K33/Geral!K32-1</f>
        <v>6.5289196953906004E-3</v>
      </c>
    </row>
    <row r="34" spans="1:11" x14ac:dyDescent="0.35">
      <c r="A34" s="2">
        <f>Geral!A34</f>
        <v>46174</v>
      </c>
      <c r="B34" s="12">
        <f>Geral!B34/Geral!B33-1</f>
        <v>1.0260524897753864E-2</v>
      </c>
      <c r="C34" s="12">
        <f>Geral!C34/Geral!C33-1</f>
        <v>1.3927353249037155E-2</v>
      </c>
      <c r="D34" s="12">
        <f>Geral!D34/Geral!D33-1</f>
        <v>9.9235992005557438E-3</v>
      </c>
      <c r="E34" s="12">
        <f>Geral!E34/Geral!E33-1</f>
        <v>1.8263874623907883E-2</v>
      </c>
      <c r="F34" s="12">
        <f>Geral!F34/Geral!F33-1</f>
        <v>8.6074373990596698E-3</v>
      </c>
      <c r="G34" s="12">
        <f>Geral!G34/Geral!G33-1</f>
        <v>1.6292286202519879E-2</v>
      </c>
      <c r="H34" s="12">
        <f>Geral!H34/Geral!H33-1</f>
        <v>1.1288714074573658E-2</v>
      </c>
      <c r="I34" s="12">
        <f>Geral!I34/Geral!I33-1</f>
        <v>1.1929610345402741E-2</v>
      </c>
      <c r="J34" s="12">
        <f>Geral!J34/Geral!J33-1</f>
        <v>1.3070676452785479E-2</v>
      </c>
      <c r="K34" s="13">
        <f>Geral!K34/Geral!K33-1</f>
        <v>1.245547681378989E-2</v>
      </c>
    </row>
    <row r="35" spans="1:11" x14ac:dyDescent="0.35">
      <c r="A35" s="2">
        <f>Geral!A35</f>
        <v>46204</v>
      </c>
      <c r="B35" s="12">
        <f>Geral!B35/Geral!B34-1</f>
        <v>3.3137921374286616E-3</v>
      </c>
      <c r="C35" s="12">
        <f>Geral!C35/Geral!C34-1</f>
        <v>7.4217004790586572E-3</v>
      </c>
      <c r="D35" s="12">
        <f>Geral!D35/Geral!D34-1</f>
        <v>4.207772449055458E-3</v>
      </c>
      <c r="E35" s="12">
        <f>Geral!E35/Geral!E34-1</f>
        <v>1.1724150206774642E-2</v>
      </c>
      <c r="F35" s="12">
        <f>Geral!F35/Geral!F34-1</f>
        <v>5.3253669307702367E-3</v>
      </c>
      <c r="G35" s="12">
        <f>Geral!G35/Geral!G34-1</f>
        <v>2.6424894867291826E-3</v>
      </c>
      <c r="H35" s="12">
        <f>Geral!H35/Geral!H34-1</f>
        <v>6.4985542719229183E-3</v>
      </c>
      <c r="I35" s="12">
        <f>Geral!I35/Geral!I34-1</f>
        <v>4.8313574869829345E-3</v>
      </c>
      <c r="J35" s="12">
        <f>Geral!J35/Geral!J34-1</f>
        <v>1.1493733409718931E-2</v>
      </c>
      <c r="K35" s="13">
        <f>Geral!K35/Geral!K34-1</f>
        <v>5.8707234280457321E-3</v>
      </c>
    </row>
    <row r="36" spans="1:11" x14ac:dyDescent="0.35">
      <c r="A36" s="2">
        <f>Geral!A36</f>
        <v>46235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</row>
    <row r="37" spans="1:11" x14ac:dyDescent="0.35">
      <c r="A37" s="2">
        <f>Geral!A37</f>
        <v>46266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</row>
    <row r="38" spans="1:11" x14ac:dyDescent="0.35">
      <c r="A38" s="2">
        <f>Geral!A38</f>
        <v>46296</v>
      </c>
      <c r="B38" s="12"/>
      <c r="C38" s="12"/>
      <c r="D38" s="12"/>
      <c r="E38" s="12"/>
      <c r="F38" s="12"/>
      <c r="G38" s="12"/>
      <c r="H38" s="12"/>
      <c r="I38" s="12"/>
      <c r="J38" s="12"/>
      <c r="K38" s="13"/>
    </row>
    <row r="39" spans="1:11" x14ac:dyDescent="0.35">
      <c r="A39" s="2">
        <f>Geral!A39</f>
        <v>46327</v>
      </c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 spans="1:11" x14ac:dyDescent="0.35">
      <c r="A40" s="23">
        <f>Geral!A40</f>
        <v>46357</v>
      </c>
      <c r="B40" s="21"/>
      <c r="C40" s="21"/>
      <c r="D40" s="21"/>
      <c r="E40" s="21"/>
      <c r="F40" s="21"/>
      <c r="G40" s="21"/>
      <c r="H40" s="21"/>
      <c r="I40" s="21"/>
      <c r="J40" s="21"/>
      <c r="K40" s="22"/>
    </row>
  </sheetData>
  <mergeCells count="4">
    <mergeCell ref="B3:E3"/>
    <mergeCell ref="F3:J3"/>
    <mergeCell ref="K3:K4"/>
    <mergeCell ref="A2:K2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"/>
  <sheetViews>
    <sheetView showGridLines="0" workbookViewId="0">
      <pane xSplit="1" ySplit="4" topLeftCell="B31" activePane="bottomRight" state="frozen"/>
      <selection activeCell="B124" sqref="B124"/>
      <selection pane="topRight" activeCell="B124" sqref="B124"/>
      <selection pane="bottomLeft" activeCell="B124" sqref="B124"/>
      <selection pane="bottomRight" activeCell="B17" sqref="B17"/>
    </sheetView>
  </sheetViews>
  <sheetFormatPr defaultRowHeight="14.5" x14ac:dyDescent="0.35"/>
  <cols>
    <col min="1" max="1" width="16.26953125" customWidth="1"/>
    <col min="2" max="2" width="11" customWidth="1"/>
    <col min="3" max="3" width="12" customWidth="1"/>
    <col min="4" max="4" width="10.81640625" customWidth="1"/>
    <col min="5" max="5" width="10.7265625" customWidth="1"/>
    <col min="6" max="6" width="10.453125" customWidth="1"/>
    <col min="7" max="7" width="11.1796875" customWidth="1"/>
    <col min="8" max="8" width="13.453125" customWidth="1"/>
    <col min="9" max="9" width="11.54296875" customWidth="1"/>
    <col min="10" max="10" width="11.1796875" customWidth="1"/>
    <col min="11" max="11" width="12.7265625" customWidth="1"/>
  </cols>
  <sheetData>
    <row r="1" spans="1:13" ht="45.5" customHeight="1" x14ac:dyDescent="0.35"/>
    <row r="2" spans="1:13" x14ac:dyDescent="0.35">
      <c r="A2" s="38" t="s">
        <v>47</v>
      </c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3" x14ac:dyDescent="0.35">
      <c r="A3" s="7"/>
      <c r="B3" s="35" t="s">
        <v>0</v>
      </c>
      <c r="C3" s="35"/>
      <c r="D3" s="35"/>
      <c r="E3" s="35"/>
      <c r="F3" s="35" t="s">
        <v>1</v>
      </c>
      <c r="G3" s="35"/>
      <c r="H3" s="35"/>
      <c r="I3" s="35"/>
      <c r="J3" s="35"/>
      <c r="K3" s="39" t="s">
        <v>2</v>
      </c>
      <c r="L3" s="1"/>
      <c r="M3" s="1"/>
    </row>
    <row r="4" spans="1:13" x14ac:dyDescent="0.35">
      <c r="A4" s="8" t="s">
        <v>43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40"/>
      <c r="L4" s="1"/>
      <c r="M4" s="1"/>
    </row>
    <row r="5" spans="1:13" x14ac:dyDescent="0.35">
      <c r="A5" s="5">
        <f>Geral!A5</f>
        <v>45292</v>
      </c>
      <c r="B5" s="14" t="s">
        <v>12</v>
      </c>
      <c r="C5" s="14" t="s">
        <v>12</v>
      </c>
      <c r="D5" s="14" t="s">
        <v>12</v>
      </c>
      <c r="E5" s="14" t="s">
        <v>12</v>
      </c>
      <c r="F5" s="14" t="s">
        <v>12</v>
      </c>
      <c r="G5" s="14" t="s">
        <v>12</v>
      </c>
      <c r="H5" s="14" t="s">
        <v>12</v>
      </c>
      <c r="I5" s="14" t="s">
        <v>12</v>
      </c>
      <c r="J5" s="14" t="s">
        <v>12</v>
      </c>
      <c r="K5" s="15" t="s">
        <v>12</v>
      </c>
    </row>
    <row r="6" spans="1:13" x14ac:dyDescent="0.35">
      <c r="A6" s="2">
        <f>Geral!A6</f>
        <v>45323</v>
      </c>
      <c r="B6" s="12" t="s">
        <v>12</v>
      </c>
      <c r="C6" s="12" t="s">
        <v>12</v>
      </c>
      <c r="D6" s="12" t="s">
        <v>12</v>
      </c>
      <c r="E6" s="12" t="s">
        <v>12</v>
      </c>
      <c r="F6" s="12" t="s">
        <v>12</v>
      </c>
      <c r="G6" s="12" t="s">
        <v>12</v>
      </c>
      <c r="H6" s="12" t="s">
        <v>12</v>
      </c>
      <c r="I6" s="12" t="s">
        <v>12</v>
      </c>
      <c r="J6" s="12" t="s">
        <v>12</v>
      </c>
      <c r="K6" s="13" t="s">
        <v>12</v>
      </c>
    </row>
    <row r="7" spans="1:13" x14ac:dyDescent="0.35">
      <c r="A7" s="2">
        <f>Geral!A7</f>
        <v>45352</v>
      </c>
      <c r="B7" s="12" t="s">
        <v>12</v>
      </c>
      <c r="C7" s="12" t="s">
        <v>12</v>
      </c>
      <c r="D7" s="12" t="s">
        <v>12</v>
      </c>
      <c r="E7" s="12" t="s">
        <v>12</v>
      </c>
      <c r="F7" s="12" t="s">
        <v>12</v>
      </c>
      <c r="G7" s="12" t="s">
        <v>12</v>
      </c>
      <c r="H7" s="12" t="s">
        <v>12</v>
      </c>
      <c r="I7" s="12" t="s">
        <v>12</v>
      </c>
      <c r="J7" s="12" t="s">
        <v>12</v>
      </c>
      <c r="K7" s="13" t="s">
        <v>12</v>
      </c>
    </row>
    <row r="8" spans="1:13" x14ac:dyDescent="0.35">
      <c r="A8" s="2">
        <f>Geral!A8</f>
        <v>45383</v>
      </c>
      <c r="B8" s="12" t="s">
        <v>12</v>
      </c>
      <c r="C8" s="12" t="s">
        <v>12</v>
      </c>
      <c r="D8" s="12" t="s">
        <v>12</v>
      </c>
      <c r="E8" s="12" t="s">
        <v>12</v>
      </c>
      <c r="F8" s="12" t="s">
        <v>12</v>
      </c>
      <c r="G8" s="12" t="s">
        <v>12</v>
      </c>
      <c r="H8" s="12" t="s">
        <v>12</v>
      </c>
      <c r="I8" s="12" t="s">
        <v>12</v>
      </c>
      <c r="J8" s="12" t="s">
        <v>12</v>
      </c>
      <c r="K8" s="13" t="s">
        <v>12</v>
      </c>
    </row>
    <row r="9" spans="1:13" x14ac:dyDescent="0.35">
      <c r="A9" s="2">
        <f>Geral!A9</f>
        <v>45413</v>
      </c>
      <c r="B9" s="12" t="s">
        <v>12</v>
      </c>
      <c r="C9" s="12" t="s">
        <v>12</v>
      </c>
      <c r="D9" s="12" t="s">
        <v>12</v>
      </c>
      <c r="E9" s="12" t="s">
        <v>12</v>
      </c>
      <c r="F9" s="12" t="s">
        <v>12</v>
      </c>
      <c r="G9" s="12" t="s">
        <v>12</v>
      </c>
      <c r="H9" s="12" t="s">
        <v>12</v>
      </c>
      <c r="I9" s="12" t="s">
        <v>12</v>
      </c>
      <c r="J9" s="12" t="s">
        <v>12</v>
      </c>
      <c r="K9" s="13" t="s">
        <v>12</v>
      </c>
    </row>
    <row r="10" spans="1:13" x14ac:dyDescent="0.35">
      <c r="A10" s="2">
        <f>Geral!A10</f>
        <v>45444</v>
      </c>
      <c r="B10" s="12" t="s">
        <v>12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12" t="s">
        <v>12</v>
      </c>
      <c r="I10" s="12" t="s">
        <v>12</v>
      </c>
      <c r="J10" s="12" t="s">
        <v>12</v>
      </c>
      <c r="K10" s="13" t="s">
        <v>12</v>
      </c>
    </row>
    <row r="11" spans="1:13" x14ac:dyDescent="0.35">
      <c r="A11" s="2">
        <f>Geral!A11</f>
        <v>45474</v>
      </c>
      <c r="B11" s="12" t="s">
        <v>12</v>
      </c>
      <c r="C11" s="12" t="s">
        <v>12</v>
      </c>
      <c r="D11" s="12" t="s">
        <v>12</v>
      </c>
      <c r="E11" s="12" t="s">
        <v>12</v>
      </c>
      <c r="F11" s="12" t="s">
        <v>12</v>
      </c>
      <c r="G11" s="12" t="s">
        <v>12</v>
      </c>
      <c r="H11" s="12" t="s">
        <v>12</v>
      </c>
      <c r="I11" s="12" t="s">
        <v>12</v>
      </c>
      <c r="J11" s="12" t="s">
        <v>12</v>
      </c>
      <c r="K11" s="13" t="s">
        <v>12</v>
      </c>
    </row>
    <row r="12" spans="1:13" x14ac:dyDescent="0.35">
      <c r="A12" s="2">
        <f>Geral!A12</f>
        <v>45505</v>
      </c>
      <c r="B12" s="12" t="s">
        <v>12</v>
      </c>
      <c r="C12" s="12" t="s">
        <v>12</v>
      </c>
      <c r="D12" s="12" t="s">
        <v>12</v>
      </c>
      <c r="E12" s="12" t="s">
        <v>12</v>
      </c>
      <c r="F12" s="12" t="s">
        <v>12</v>
      </c>
      <c r="G12" s="12" t="s">
        <v>12</v>
      </c>
      <c r="H12" s="12" t="s">
        <v>12</v>
      </c>
      <c r="I12" s="12" t="s">
        <v>12</v>
      </c>
      <c r="J12" s="12" t="s">
        <v>12</v>
      </c>
      <c r="K12" s="13" t="s">
        <v>12</v>
      </c>
    </row>
    <row r="13" spans="1:13" x14ac:dyDescent="0.35">
      <c r="A13" s="2">
        <f>Geral!A13</f>
        <v>45536</v>
      </c>
      <c r="B13" s="12" t="s">
        <v>12</v>
      </c>
      <c r="C13" s="12" t="s">
        <v>12</v>
      </c>
      <c r="D13" s="12" t="s">
        <v>12</v>
      </c>
      <c r="E13" s="12" t="s">
        <v>12</v>
      </c>
      <c r="F13" s="12" t="s">
        <v>12</v>
      </c>
      <c r="G13" s="12" t="s">
        <v>12</v>
      </c>
      <c r="H13" s="12" t="s">
        <v>12</v>
      </c>
      <c r="I13" s="12" t="s">
        <v>12</v>
      </c>
      <c r="J13" s="12" t="s">
        <v>12</v>
      </c>
      <c r="K13" s="13" t="s">
        <v>12</v>
      </c>
    </row>
    <row r="14" spans="1:13" x14ac:dyDescent="0.35">
      <c r="A14" s="2">
        <f>Geral!A14</f>
        <v>45566</v>
      </c>
      <c r="B14" s="12" t="s">
        <v>12</v>
      </c>
      <c r="C14" s="12" t="s">
        <v>12</v>
      </c>
      <c r="D14" s="12" t="s">
        <v>12</v>
      </c>
      <c r="E14" s="12" t="s">
        <v>12</v>
      </c>
      <c r="F14" s="12" t="s">
        <v>12</v>
      </c>
      <c r="G14" s="12" t="s">
        <v>12</v>
      </c>
      <c r="H14" s="12" t="s">
        <v>12</v>
      </c>
      <c r="I14" s="12" t="s">
        <v>12</v>
      </c>
      <c r="J14" s="12" t="s">
        <v>12</v>
      </c>
      <c r="K14" s="13" t="s">
        <v>12</v>
      </c>
    </row>
    <row r="15" spans="1:13" x14ac:dyDescent="0.35">
      <c r="A15" s="2">
        <f>Geral!A15</f>
        <v>45597</v>
      </c>
      <c r="B15" s="12" t="s">
        <v>12</v>
      </c>
      <c r="C15" s="12" t="s">
        <v>12</v>
      </c>
      <c r="D15" s="12" t="s">
        <v>12</v>
      </c>
      <c r="E15" s="12" t="s">
        <v>12</v>
      </c>
      <c r="F15" s="12" t="s">
        <v>12</v>
      </c>
      <c r="G15" s="12" t="s">
        <v>12</v>
      </c>
      <c r="H15" s="12" t="s">
        <v>12</v>
      </c>
      <c r="I15" s="12" t="s">
        <v>12</v>
      </c>
      <c r="J15" s="12" t="s">
        <v>12</v>
      </c>
      <c r="K15" s="13" t="s">
        <v>12</v>
      </c>
    </row>
    <row r="16" spans="1:13" x14ac:dyDescent="0.35">
      <c r="A16" s="23">
        <f>Geral!A16</f>
        <v>45627</v>
      </c>
      <c r="B16" s="21" t="s">
        <v>12</v>
      </c>
      <c r="C16" s="21" t="s">
        <v>12</v>
      </c>
      <c r="D16" s="21" t="s">
        <v>12</v>
      </c>
      <c r="E16" s="21" t="s">
        <v>12</v>
      </c>
      <c r="F16" s="21" t="s">
        <v>12</v>
      </c>
      <c r="G16" s="21" t="s">
        <v>12</v>
      </c>
      <c r="H16" s="21" t="s">
        <v>12</v>
      </c>
      <c r="I16" s="21" t="s">
        <v>12</v>
      </c>
      <c r="J16" s="21" t="s">
        <v>12</v>
      </c>
      <c r="K16" s="22" t="s">
        <v>12</v>
      </c>
    </row>
    <row r="17" spans="1:11" x14ac:dyDescent="0.35">
      <c r="A17" s="5">
        <f>Geral!A17</f>
        <v>45658</v>
      </c>
      <c r="B17" s="14">
        <f>Geral!B17/Geral!B5-1</f>
        <v>2.6027971957702123E-2</v>
      </c>
      <c r="C17" s="14">
        <f>Geral!C17/Geral!C5-1</f>
        <v>6.6254187128036657E-2</v>
      </c>
      <c r="D17" s="14">
        <f>Geral!D17/Geral!D5-1</f>
        <v>0.13128398393854024</v>
      </c>
      <c r="E17" s="14">
        <f>Geral!E17/Geral!E5-1</f>
        <v>0.29382583980954169</v>
      </c>
      <c r="F17" s="14">
        <f>Geral!F17/Geral!F5-1</f>
        <v>7.6543549278638823E-2</v>
      </c>
      <c r="G17" s="14">
        <f>Geral!G17/Geral!G5-1</f>
        <v>1.454493348936059E-2</v>
      </c>
      <c r="H17" s="14">
        <f>Geral!H17/Geral!H5-1</f>
        <v>4.7517543300779952E-2</v>
      </c>
      <c r="I17" s="14">
        <f>Geral!I17/Geral!I5-1</f>
        <v>8.6773030275855145E-2</v>
      </c>
      <c r="J17" s="14">
        <f>Geral!J17/Geral!J5-1</f>
        <v>1.7987040536892041E-2</v>
      </c>
      <c r="K17" s="15">
        <f>Geral!K17/Geral!K5-1</f>
        <v>5.9413586383395556E-2</v>
      </c>
    </row>
    <row r="18" spans="1:11" x14ac:dyDescent="0.35">
      <c r="A18" s="2">
        <f>Geral!A18</f>
        <v>45689</v>
      </c>
      <c r="B18" s="12">
        <f>Geral!B18/Geral!B6-1</f>
        <v>4.1675261833334254E-2</v>
      </c>
      <c r="C18" s="12">
        <f>Geral!C18/Geral!C6-1</f>
        <v>9.4809514298891395E-2</v>
      </c>
      <c r="D18" s="12">
        <f>Geral!D18/Geral!D6-1</f>
        <v>0.15613613426142692</v>
      </c>
      <c r="E18" s="12">
        <f>Geral!E18/Geral!E6-1</f>
        <v>0.31815045579994972</v>
      </c>
      <c r="F18" s="12">
        <f>Geral!F18/Geral!F6-1</f>
        <v>0.10405550566150712</v>
      </c>
      <c r="G18" s="12">
        <f>Geral!G18/Geral!G6-1</f>
        <v>2.3172443642099916E-2</v>
      </c>
      <c r="H18" s="12">
        <f>Geral!H18/Geral!H6-1</f>
        <v>6.9642153292295061E-2</v>
      </c>
      <c r="I18" s="12">
        <f>Geral!I18/Geral!I6-1</f>
        <v>0.11708055650143501</v>
      </c>
      <c r="J18" s="12">
        <f>Geral!J18/Geral!J6-1</f>
        <v>3.4599684151460641E-2</v>
      </c>
      <c r="K18" s="13">
        <f>Geral!K18/Geral!K6-1</f>
        <v>8.2789654880987218E-2</v>
      </c>
    </row>
    <row r="19" spans="1:11" x14ac:dyDescent="0.35">
      <c r="A19" s="2">
        <f>Geral!A19</f>
        <v>45717</v>
      </c>
      <c r="B19" s="12">
        <f>Geral!B19/Geral!B7-1</f>
        <v>5.6071577335246259E-2</v>
      </c>
      <c r="C19" s="12">
        <f>Geral!C19/Geral!C7-1</f>
        <v>0.1160618688268229</v>
      </c>
      <c r="D19" s="12">
        <f>Geral!D19/Geral!D7-1</f>
        <v>0.17376883921793129</v>
      </c>
      <c r="E19" s="12">
        <f>Geral!E19/Geral!E7-1</f>
        <v>0.3415131859779903</v>
      </c>
      <c r="F19" s="12">
        <f>Geral!F19/Geral!F7-1</f>
        <v>0.12276447408305557</v>
      </c>
      <c r="G19" s="12">
        <f>Geral!G19/Geral!G7-1</f>
        <v>3.4204513802630343E-2</v>
      </c>
      <c r="H19" s="12">
        <f>Geral!H19/Geral!H7-1</f>
        <v>0.10733398713696451</v>
      </c>
      <c r="I19" s="12">
        <f>Geral!I19/Geral!I7-1</f>
        <v>0.13666569557485597</v>
      </c>
      <c r="J19" s="12">
        <f>Geral!J19/Geral!J7-1</f>
        <v>4.7739214040675826E-2</v>
      </c>
      <c r="K19" s="13">
        <f>Geral!K19/Geral!K7-1</f>
        <v>0.10126658313357173</v>
      </c>
    </row>
    <row r="20" spans="1:11" x14ac:dyDescent="0.35">
      <c r="A20" s="2">
        <f>Geral!A20</f>
        <v>45748</v>
      </c>
      <c r="B20" s="12">
        <f>Geral!B20/Geral!B8-1</f>
        <v>7.0127879314812347E-2</v>
      </c>
      <c r="C20" s="12">
        <f>Geral!C20/Geral!C8-1</f>
        <v>0.13786783206896791</v>
      </c>
      <c r="D20" s="12">
        <f>Geral!D20/Geral!D8-1</f>
        <v>0.20191321820466102</v>
      </c>
      <c r="E20" s="12">
        <f>Geral!E20/Geral!E8-1</f>
        <v>0.37168086626155561</v>
      </c>
      <c r="F20" s="12">
        <f>Geral!F20/Geral!F8-1</f>
        <v>0.13196448231980207</v>
      </c>
      <c r="G20" s="12">
        <f>Geral!G20/Geral!G8-1</f>
        <v>5.7217733334711474E-2</v>
      </c>
      <c r="H20" s="12">
        <f>Geral!H20/Geral!H8-1</f>
        <v>9.0598685335443907E-2</v>
      </c>
      <c r="I20" s="12">
        <f>Geral!I20/Geral!I8-1</f>
        <v>0.15772353810822226</v>
      </c>
      <c r="J20" s="12">
        <f>Geral!J20/Geral!J8-1</f>
        <v>8.1347294978709739E-2</v>
      </c>
      <c r="K20" s="13">
        <f>Geral!K20/Geral!K8-1</f>
        <v>0.12085203183087945</v>
      </c>
    </row>
    <row r="21" spans="1:11" x14ac:dyDescent="0.35">
      <c r="A21" s="2">
        <f>Geral!A21</f>
        <v>45778</v>
      </c>
      <c r="B21" s="12">
        <f>Geral!B21/Geral!B9-1</f>
        <v>6.3367877567657604E-2</v>
      </c>
      <c r="C21" s="12">
        <f>Geral!C21/Geral!C9-1</f>
        <v>0.14180816782611827</v>
      </c>
      <c r="D21" s="12">
        <f>Geral!D21/Geral!D9-1</f>
        <v>0.21966763307149084</v>
      </c>
      <c r="E21" s="12">
        <f>Geral!E21/Geral!E9-1</f>
        <v>0.38976191943468708</v>
      </c>
      <c r="F21" s="12">
        <f>Geral!F21/Geral!F9-1</f>
        <v>0.13816404649914538</v>
      </c>
      <c r="G21" s="12">
        <f>Geral!G21/Geral!G9-1</f>
        <v>6.8787812358891642E-2</v>
      </c>
      <c r="H21" s="12">
        <f>Geral!H21/Geral!H9-1</f>
        <v>0.11182711198428286</v>
      </c>
      <c r="I21" s="12">
        <f>Geral!I21/Geral!I9-1</f>
        <v>0.13922108820421841</v>
      </c>
      <c r="J21" s="12">
        <f>Geral!J21/Geral!J9-1</f>
        <v>0.11983488854403013</v>
      </c>
      <c r="K21" s="13">
        <f>Geral!K21/Geral!K9-1</f>
        <v>0.12201961868579958</v>
      </c>
    </row>
    <row r="22" spans="1:11" x14ac:dyDescent="0.35">
      <c r="A22" s="2">
        <f>Geral!A22</f>
        <v>45809</v>
      </c>
      <c r="B22" s="12">
        <f>Geral!B22/Geral!B10-1</f>
        <v>7.0979877817278103E-2</v>
      </c>
      <c r="C22" s="12">
        <f>Geral!C22/Geral!C10-1</f>
        <v>0.15042416476286014</v>
      </c>
      <c r="D22" s="12">
        <f>Geral!D22/Geral!D10-1</f>
        <v>0.23377552559591996</v>
      </c>
      <c r="E22" s="12">
        <f>Geral!E22/Geral!E10-1</f>
        <v>0.37888099449390933</v>
      </c>
      <c r="F22" s="12">
        <f>Geral!F22/Geral!F10-1</f>
        <v>0.15009044643686043</v>
      </c>
      <c r="G22" s="12">
        <f>Geral!G22/Geral!G10-1</f>
        <v>7.6059608876396734E-2</v>
      </c>
      <c r="H22" s="12">
        <f>Geral!H22/Geral!H10-1</f>
        <v>0.14183916026001353</v>
      </c>
      <c r="I22" s="12">
        <f>Geral!I22/Geral!I10-1</f>
        <v>0.13677151458171788</v>
      </c>
      <c r="J22" s="12">
        <f>Geral!J22/Geral!J10-1</f>
        <v>0.15294758323286928</v>
      </c>
      <c r="K22" s="13">
        <f>Geral!K22/Geral!K10-1</f>
        <v>0.13057328255570266</v>
      </c>
    </row>
    <row r="23" spans="1:11" x14ac:dyDescent="0.35">
      <c r="A23" s="2">
        <f>Geral!A23</f>
        <v>45839</v>
      </c>
      <c r="B23" s="12">
        <f>Geral!B23/Geral!B11-1</f>
        <v>9.680353274853104E-2</v>
      </c>
      <c r="C23" s="12">
        <f>Geral!C23/Geral!C11-1</f>
        <v>0.18802413765356385</v>
      </c>
      <c r="D23" s="12">
        <f>Geral!D23/Geral!D11-1</f>
        <v>0.27127507221944902</v>
      </c>
      <c r="E23" s="12">
        <f>Geral!E23/Geral!E11-1</f>
        <v>0.4103154203279733</v>
      </c>
      <c r="F23" s="12">
        <f>Geral!F23/Geral!F11-1</f>
        <v>0.24962574429048989</v>
      </c>
      <c r="G23" s="12">
        <f>Geral!G23/Geral!G11-1</f>
        <v>0.10767303163376707</v>
      </c>
      <c r="H23" s="12">
        <f>Geral!H23/Geral!H11-1</f>
        <v>0.16609506518359884</v>
      </c>
      <c r="I23" s="12">
        <f>Geral!I23/Geral!I11-1</f>
        <v>0.16654036951457418</v>
      </c>
      <c r="J23" s="12">
        <f>Geral!J23/Geral!J11-1</f>
        <v>0.18101741685539796</v>
      </c>
      <c r="K23" s="13">
        <f>Geral!K23/Geral!K11-1</f>
        <v>0.16377251669749127</v>
      </c>
    </row>
    <row r="24" spans="1:11" x14ac:dyDescent="0.35">
      <c r="A24" s="2">
        <f>Geral!A24</f>
        <v>45870</v>
      </c>
      <c r="B24" s="12">
        <f>Geral!B24/Geral!B12-1</f>
        <v>0.11133990615856204</v>
      </c>
      <c r="C24" s="12">
        <f>Geral!C24/Geral!C12-1</f>
        <v>0.21337026788039393</v>
      </c>
      <c r="D24" s="12">
        <f>Geral!D24/Geral!D12-1</f>
        <v>0.29849934933368472</v>
      </c>
      <c r="E24" s="12">
        <f>Geral!E24/Geral!E12-1</f>
        <v>0.43402836526499122</v>
      </c>
      <c r="F24" s="12">
        <f>Geral!F24/Geral!F12-1</f>
        <v>0.28157317411441007</v>
      </c>
      <c r="G24" s="12">
        <f>Geral!G24/Geral!G12-1</f>
        <v>0.11851229011081421</v>
      </c>
      <c r="H24" s="12">
        <f>Geral!H24/Geral!H12-1</f>
        <v>0.18068264215887542</v>
      </c>
      <c r="I24" s="12">
        <f>Geral!I24/Geral!I12-1</f>
        <v>0.19026965873818691</v>
      </c>
      <c r="J24" s="12">
        <f>Geral!J24/Geral!J12-1</f>
        <v>0.20568488886629321</v>
      </c>
      <c r="K24" s="13">
        <f>Geral!K24/Geral!K12-1</f>
        <v>0.18524678661061444</v>
      </c>
    </row>
    <row r="25" spans="1:11" x14ac:dyDescent="0.35">
      <c r="A25" s="2">
        <f>Geral!A25</f>
        <v>45901</v>
      </c>
      <c r="B25" s="12">
        <f>Geral!B25/Geral!B13-1</f>
        <v>0.13400116072004331</v>
      </c>
      <c r="C25" s="12">
        <f>Geral!C25/Geral!C13-1</f>
        <v>0.25454889798741154</v>
      </c>
      <c r="D25" s="12">
        <f>Geral!D25/Geral!D13-1</f>
        <v>0.34223862905694258</v>
      </c>
      <c r="E25" s="12">
        <f>Geral!E25/Geral!E13-1</f>
        <v>0.47687694843231876</v>
      </c>
      <c r="F25" s="12">
        <f>Geral!F25/Geral!F13-1</f>
        <v>0.32824269595087507</v>
      </c>
      <c r="G25" s="12">
        <f>Geral!G25/Geral!G13-1</f>
        <v>0.1480529171617091</v>
      </c>
      <c r="H25" s="12">
        <f>Geral!H25/Geral!H13-1</f>
        <v>0.20836815151021315</v>
      </c>
      <c r="I25" s="12">
        <f>Geral!I25/Geral!I13-1</f>
        <v>0.2248166595692469</v>
      </c>
      <c r="J25" s="12">
        <f>Geral!J25/Geral!J13-1</f>
        <v>0.24521501972434612</v>
      </c>
      <c r="K25" s="13">
        <f>Geral!K25/Geral!K13-1</f>
        <v>0.21981967618976084</v>
      </c>
    </row>
    <row r="26" spans="1:11" x14ac:dyDescent="0.35">
      <c r="A26" s="2">
        <f>Geral!A26</f>
        <v>45931</v>
      </c>
      <c r="B26" s="12">
        <f>Geral!B26/Geral!B14-1</f>
        <v>0.15740492821468921</v>
      </c>
      <c r="C26" s="12">
        <f>Geral!C26/Geral!C14-1</f>
        <v>0.28783101301714398</v>
      </c>
      <c r="D26" s="12">
        <f>Geral!D26/Geral!D14-1</f>
        <v>0.38106083663393631</v>
      </c>
      <c r="E26" s="12">
        <f>Geral!E26/Geral!E14-1</f>
        <v>0.52032070776886918</v>
      </c>
      <c r="F26" s="12">
        <f>Geral!F26/Geral!F14-1</f>
        <v>0.36229686466683453</v>
      </c>
      <c r="G26" s="12">
        <f>Geral!G26/Geral!G14-1</f>
        <v>0.17472863217193058</v>
      </c>
      <c r="H26" s="12">
        <f>Geral!H26/Geral!H14-1</f>
        <v>0.23558803354766766</v>
      </c>
      <c r="I26" s="12">
        <f>Geral!I26/Geral!I14-1</f>
        <v>0.25357563702322117</v>
      </c>
      <c r="J26" s="12">
        <f>Geral!J26/Geral!J14-1</f>
        <v>0.28522208266727556</v>
      </c>
      <c r="K26" s="13">
        <f>Geral!K26/Geral!K14-1</f>
        <v>0.25014656591909556</v>
      </c>
    </row>
    <row r="27" spans="1:11" x14ac:dyDescent="0.35">
      <c r="A27" s="2">
        <f>Geral!A27</f>
        <v>45962</v>
      </c>
      <c r="B27" s="12">
        <f>Geral!B27/Geral!B15-1</f>
        <v>0.17206584103525668</v>
      </c>
      <c r="C27" s="12">
        <f>Geral!C27/Geral!C15-1</f>
        <v>0.35724723431324579</v>
      </c>
      <c r="D27" s="12">
        <f>Geral!D27/Geral!D15-1</f>
        <v>0.28924542575520462</v>
      </c>
      <c r="E27" s="12">
        <f>Geral!E27/Geral!E15-1</f>
        <v>0.31076907791788444</v>
      </c>
      <c r="F27" s="12">
        <f>Geral!F27/Geral!F15-1</f>
        <v>0.39613586529311995</v>
      </c>
      <c r="G27" s="12">
        <f>Geral!G27/Geral!G15-1</f>
        <v>0.2281420101435816</v>
      </c>
      <c r="H27" s="12">
        <f>Geral!H27/Geral!H15-1</f>
        <v>0.27327736580252115</v>
      </c>
      <c r="I27" s="12">
        <f>Geral!I27/Geral!I15-1</f>
        <v>0.2752818602251601</v>
      </c>
      <c r="J27" s="12">
        <f>Geral!J27/Geral!J15-1</f>
        <v>0.32503298263633074</v>
      </c>
      <c r="K27" s="13">
        <f>Geral!K27/Geral!K15-1</f>
        <v>0.28214024660632964</v>
      </c>
    </row>
    <row r="28" spans="1:11" x14ac:dyDescent="0.35">
      <c r="A28" s="23">
        <f>Geral!A28</f>
        <v>45992</v>
      </c>
      <c r="B28" s="21">
        <f>Geral!B28/Geral!B16-1</f>
        <v>0.18761559383499549</v>
      </c>
      <c r="C28" s="21">
        <f>Geral!C28/Geral!C16-1</f>
        <v>0.37058059434398993</v>
      </c>
      <c r="D28" s="21">
        <f>Geral!D28/Geral!D16-1</f>
        <v>0.30854354891612257</v>
      </c>
      <c r="E28" s="21">
        <f>Geral!E28/Geral!E16-1</f>
        <v>0.31850294088653763</v>
      </c>
      <c r="F28" s="21">
        <f>Geral!F28/Geral!F16-1</f>
        <v>0.42355065688296678</v>
      </c>
      <c r="G28" s="21">
        <f>Geral!G28/Geral!G16-1</f>
        <v>0.24698180295803951</v>
      </c>
      <c r="H28" s="21">
        <f>Geral!H28/Geral!H16-1</f>
        <v>0.26474776257985377</v>
      </c>
      <c r="I28" s="21">
        <f>Geral!I28/Geral!I16-1</f>
        <v>0.29054225379676368</v>
      </c>
      <c r="J28" s="21">
        <f>Geral!J28/Geral!J16-1</f>
        <v>0.34281044714238851</v>
      </c>
      <c r="K28" s="22">
        <f>Geral!K28/Geral!K16-1</f>
        <v>0.29684218936495532</v>
      </c>
    </row>
    <row r="29" spans="1:11" x14ac:dyDescent="0.35">
      <c r="A29" s="5">
        <f>Geral!A29</f>
        <v>46023</v>
      </c>
      <c r="B29" s="14">
        <f>Geral!B29/Geral!B17-1</f>
        <v>0.14631163445698259</v>
      </c>
      <c r="C29" s="14">
        <f>Geral!C29/Geral!C17-1</f>
        <v>0.31154998072532103</v>
      </c>
      <c r="D29" s="14">
        <f>Geral!D29/Geral!D17-1</f>
        <v>0.25120939369062967</v>
      </c>
      <c r="E29" s="14">
        <f>Geral!E29/Geral!E17-1</f>
        <v>0.27617233413042608</v>
      </c>
      <c r="F29" s="14">
        <f>Geral!F29/Geral!F17-1</f>
        <v>0.27423898721797357</v>
      </c>
      <c r="G29" s="14">
        <f>Geral!G29/Geral!G17-1</f>
        <v>4.0958485044503501E-2</v>
      </c>
      <c r="H29" s="14">
        <f>Geral!H29/Geral!H17-1</f>
        <v>0.25025935818190348</v>
      </c>
      <c r="I29" s="14">
        <f>Geral!I29/Geral!I17-1</f>
        <v>0.27387749477248713</v>
      </c>
      <c r="J29" s="14">
        <f>Geral!J29/Geral!J17-1</f>
        <v>0.33973709286619536</v>
      </c>
      <c r="K29" s="15">
        <f>Geral!K29/Geral!K17-1</f>
        <v>0.24515622923881075</v>
      </c>
    </row>
    <row r="30" spans="1:11" x14ac:dyDescent="0.35">
      <c r="A30" s="2">
        <f>Geral!A30</f>
        <v>46054</v>
      </c>
      <c r="B30" s="12">
        <f>Geral!B30/Geral!B18-1</f>
        <v>0.14269265587869184</v>
      </c>
      <c r="C30" s="12">
        <f>Geral!C30/Geral!C18-1</f>
        <v>0.29592066965998054</v>
      </c>
      <c r="D30" s="12">
        <f>Geral!D30/Geral!D18-1</f>
        <v>0.24288365278525226</v>
      </c>
      <c r="E30" s="12">
        <f>Geral!E30/Geral!E18-1</f>
        <v>0.26556638564823265</v>
      </c>
      <c r="F30" s="12">
        <f>Geral!F30/Geral!F18-1</f>
        <v>0.25909946408064299</v>
      </c>
      <c r="G30" s="12">
        <f>Geral!G30/Geral!G18-1</f>
        <v>3.2823033173684735E-2</v>
      </c>
      <c r="H30" s="12">
        <f>Geral!H30/Geral!H18-1</f>
        <v>0.24068916798554563</v>
      </c>
      <c r="I30" s="12">
        <f>Geral!I30/Geral!I18-1</f>
        <v>0.26135699300965753</v>
      </c>
      <c r="J30" s="12">
        <f>Geral!J30/Geral!J18-1</f>
        <v>0.33743860038225959</v>
      </c>
      <c r="K30" s="13">
        <f>Geral!K30/Geral!K18-1</f>
        <v>0.23518229819399794</v>
      </c>
    </row>
    <row r="31" spans="1:11" x14ac:dyDescent="0.35">
      <c r="A31" s="2">
        <f>Geral!A31</f>
        <v>46082</v>
      </c>
      <c r="B31" s="12">
        <f>Geral!B31/Geral!B19-1</f>
        <v>0.12977664913543729</v>
      </c>
      <c r="C31" s="12">
        <f>Geral!C31/Geral!C19-1</f>
        <v>0.27504772580371539</v>
      </c>
      <c r="D31" s="12">
        <f>Geral!D31/Geral!D19-1</f>
        <v>0.22889971566460088</v>
      </c>
      <c r="E31" s="12">
        <f>Geral!E31/Geral!E19-1</f>
        <v>0.25250871161263788</v>
      </c>
      <c r="F31" s="12">
        <f>Geral!F31/Geral!F19-1</f>
        <v>0.24403451570028234</v>
      </c>
      <c r="G31" s="12">
        <f>Geral!G31/Geral!G19-1</f>
        <v>1.6789121464544143E-2</v>
      </c>
      <c r="H31" s="12">
        <f>Geral!H31/Geral!H19-1</f>
        <v>0.22188904552616306</v>
      </c>
      <c r="I31" s="12">
        <f>Geral!I31/Geral!I19-1</f>
        <v>0.24371444002831044</v>
      </c>
      <c r="J31" s="12">
        <f>Geral!J31/Geral!J19-1</f>
        <v>0.32202464649152462</v>
      </c>
      <c r="K31" s="13">
        <f>Geral!K31/Geral!K19-1</f>
        <v>0.21824565231162207</v>
      </c>
    </row>
    <row r="32" spans="1:11" x14ac:dyDescent="0.35">
      <c r="A32" s="2">
        <f>Geral!A32</f>
        <v>46113</v>
      </c>
      <c r="B32" s="12">
        <f>Geral!B32/Geral!B20-1</f>
        <v>0.11770322650299003</v>
      </c>
      <c r="C32" s="12">
        <f>Geral!C32/Geral!C20-1</f>
        <v>0.24535677776990972</v>
      </c>
      <c r="D32" s="12">
        <f>Geral!D32/Geral!D20-1</f>
        <v>0.20363126429994827</v>
      </c>
      <c r="E32" s="12">
        <f>Geral!E32/Geral!E20-1</f>
        <v>0.23462864991736043</v>
      </c>
      <c r="F32" s="12">
        <f>Geral!F32/Geral!F20-1</f>
        <v>0.22227920501426124</v>
      </c>
      <c r="G32" s="12">
        <f>Geral!G32/Geral!G20-1</f>
        <v>1.7598029020748918E-3</v>
      </c>
      <c r="H32" s="12">
        <f>Geral!H32/Geral!H20-1</f>
        <v>0.20430620230842966</v>
      </c>
      <c r="I32" s="12">
        <f>Geral!I32/Geral!I20-1</f>
        <v>0.22027257629704455</v>
      </c>
      <c r="J32" s="12">
        <f>Geral!J32/Geral!J20-1</f>
        <v>0.29199876298514171</v>
      </c>
      <c r="K32" s="13">
        <f>Geral!K32/Geral!K20-1</f>
        <v>0.19595612264399009</v>
      </c>
    </row>
    <row r="33" spans="1:11" x14ac:dyDescent="0.35">
      <c r="A33" s="2">
        <f>Geral!A33</f>
        <v>46143</v>
      </c>
      <c r="B33" s="12">
        <f>Geral!B33/Geral!B21-1</f>
        <v>0.1108842146672675</v>
      </c>
      <c r="C33" s="12">
        <f>Geral!C33/Geral!C21-1</f>
        <v>0.22205180864561691</v>
      </c>
      <c r="D33" s="12">
        <f>Geral!D33/Geral!D21-1</f>
        <v>0.18264248487520462</v>
      </c>
      <c r="E33" s="12">
        <f>Geral!E33/Geral!E21-1</f>
        <v>0.22325031409356288</v>
      </c>
      <c r="F33" s="12">
        <f>Geral!F33/Geral!F21-1</f>
        <v>0.21255767660396185</v>
      </c>
      <c r="G33" s="12">
        <f>Geral!G33/Geral!G21-1</f>
        <v>-1.1048595412795015E-2</v>
      </c>
      <c r="H33" s="12">
        <f>Geral!H33/Geral!H21-1</f>
        <v>0.18281814469261448</v>
      </c>
      <c r="I33" s="12">
        <f>Geral!I33/Geral!I21-1</f>
        <v>0.20427718273320994</v>
      </c>
      <c r="J33" s="12">
        <f>Geral!J33/Geral!J21-1</f>
        <v>0.26816500123381215</v>
      </c>
      <c r="K33" s="13">
        <f>Geral!K33/Geral!K21-1</f>
        <v>0.17937246732308054</v>
      </c>
    </row>
    <row r="34" spans="1:11" x14ac:dyDescent="0.35">
      <c r="A34" s="2">
        <f>Geral!A34</f>
        <v>46174</v>
      </c>
      <c r="B34" s="12">
        <f>Geral!B34/Geral!B22-1</f>
        <v>0.11203394005243861</v>
      </c>
      <c r="C34" s="12">
        <f>Geral!C34/Geral!C22-1</f>
        <v>0.21713222673251931</v>
      </c>
      <c r="D34" s="12">
        <f>Geral!D34/Geral!D22-1</f>
        <v>0.17713990215985187</v>
      </c>
      <c r="E34" s="12">
        <f>Geral!E34/Geral!E22-1</f>
        <v>0.22143550795008182</v>
      </c>
      <c r="F34" s="12">
        <f>Geral!F34/Geral!F22-1</f>
        <v>0.2052934125877548</v>
      </c>
      <c r="G34" s="12">
        <f>Geral!G34/Geral!G22-1</f>
        <v>-2.9659399490633565E-3</v>
      </c>
      <c r="H34" s="12">
        <f>Geral!H34/Geral!H22-1</f>
        <v>0.17523039981234678</v>
      </c>
      <c r="I34" s="12">
        <f>Geral!I34/Geral!I22-1</f>
        <v>0.20239783820276824</v>
      </c>
      <c r="J34" s="12">
        <f>Geral!J34/Geral!J22-1</f>
        <v>0.25564212205876946</v>
      </c>
      <c r="K34" s="13">
        <f>Geral!K34/Geral!K22-1</f>
        <v>0.17681810545255505</v>
      </c>
    </row>
    <row r="35" spans="1:11" x14ac:dyDescent="0.35">
      <c r="A35" s="2">
        <f>Geral!A35</f>
        <v>46204</v>
      </c>
      <c r="B35" s="12">
        <f>Geral!B35/Geral!B23-1</f>
        <v>9.4153921402637453E-2</v>
      </c>
      <c r="C35" s="12">
        <f>Geral!C35/Geral!C23-1</f>
        <v>0.18714790817072813</v>
      </c>
      <c r="D35" s="12">
        <f>Geral!D35/Geral!D23-1</f>
        <v>0.15144419553770283</v>
      </c>
      <c r="E35" s="12">
        <f>Geral!E35/Geral!E23-1</f>
        <v>0.20456488107432236</v>
      </c>
      <c r="F35" s="12">
        <f>Geral!F35/Geral!F23-1</f>
        <v>0.11546966551222515</v>
      </c>
      <c r="G35" s="12">
        <f>Geral!G35/Geral!G23-1</f>
        <v>-2.1478222605797348E-2</v>
      </c>
      <c r="H35" s="12">
        <f>Geral!H35/Geral!H23-1</f>
        <v>0.15195011692285498</v>
      </c>
      <c r="I35" s="12">
        <f>Geral!I35/Geral!I23-1</f>
        <v>0.18145886892621688</v>
      </c>
      <c r="J35" s="12">
        <f>Geral!J35/Geral!J23-1</f>
        <v>0.23301399550361523</v>
      </c>
      <c r="K35" s="13">
        <f>Geral!K35/Geral!K23-1</f>
        <v>0.15195887505534467</v>
      </c>
    </row>
    <row r="36" spans="1:11" x14ac:dyDescent="0.35">
      <c r="A36" s="2">
        <f>Geral!A36</f>
        <v>46235</v>
      </c>
      <c r="B36" s="12"/>
      <c r="C36" s="12"/>
      <c r="D36" s="12"/>
      <c r="E36" s="12"/>
      <c r="F36" s="12"/>
      <c r="G36" s="12"/>
      <c r="H36" s="12"/>
      <c r="I36" s="12"/>
      <c r="J36" s="12"/>
      <c r="K36" s="13"/>
    </row>
    <row r="37" spans="1:11" x14ac:dyDescent="0.35">
      <c r="A37" s="2">
        <f>Geral!A37</f>
        <v>46266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</row>
    <row r="38" spans="1:11" x14ac:dyDescent="0.35">
      <c r="A38" s="2">
        <f>Geral!A38</f>
        <v>46296</v>
      </c>
      <c r="B38" s="12"/>
      <c r="C38" s="12"/>
      <c r="D38" s="12"/>
      <c r="E38" s="12"/>
      <c r="F38" s="12"/>
      <c r="G38" s="12"/>
      <c r="H38" s="12"/>
      <c r="I38" s="12"/>
      <c r="J38" s="12"/>
      <c r="K38" s="13"/>
    </row>
    <row r="39" spans="1:11" x14ac:dyDescent="0.35">
      <c r="A39" s="2">
        <f>Geral!A39</f>
        <v>46327</v>
      </c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 spans="1:11" x14ac:dyDescent="0.35">
      <c r="A40" s="23">
        <f>Geral!A40</f>
        <v>46357</v>
      </c>
      <c r="B40" s="21"/>
      <c r="C40" s="21"/>
      <c r="D40" s="21"/>
      <c r="E40" s="21"/>
      <c r="F40" s="21"/>
      <c r="G40" s="21"/>
      <c r="H40" s="21"/>
      <c r="I40" s="21"/>
      <c r="J40" s="21"/>
      <c r="K40" s="22"/>
    </row>
  </sheetData>
  <mergeCells count="4">
    <mergeCell ref="B3:E3"/>
    <mergeCell ref="F3:J3"/>
    <mergeCell ref="K3:K4"/>
    <mergeCell ref="A2:K2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9"/>
  <sheetViews>
    <sheetView showGridLines="0" workbookViewId="0">
      <pane xSplit="1" ySplit="3" topLeftCell="P26" activePane="bottomRight" state="frozen"/>
      <selection sqref="A1:XFD1"/>
      <selection pane="topRight" sqref="A1:XFD1"/>
      <selection pane="bottomLeft" sqref="A1:XFD1"/>
      <selection pane="bottomRight" activeCell="A2" sqref="A2:AC2"/>
    </sheetView>
  </sheetViews>
  <sheetFormatPr defaultRowHeight="14.5" x14ac:dyDescent="0.35"/>
  <cols>
    <col min="1" max="1" width="16.26953125" customWidth="1"/>
    <col min="2" max="26" width="8.81640625" bestFit="1" customWidth="1"/>
    <col min="27" max="27" width="9.54296875" bestFit="1" customWidth="1"/>
    <col min="28" max="28" width="8.81640625" bestFit="1" customWidth="1"/>
    <col min="29" max="29" width="10.1796875" customWidth="1"/>
    <col min="30" max="30" width="9.54296875" bestFit="1" customWidth="1"/>
  </cols>
  <sheetData>
    <row r="1" spans="1:31" ht="45.5" customHeight="1" x14ac:dyDescent="0.35"/>
    <row r="2" spans="1:31" x14ac:dyDescent="0.35">
      <c r="A2" s="38" t="s">
        <v>48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1"/>
      <c r="AE2" s="1"/>
    </row>
    <row r="3" spans="1:31" x14ac:dyDescent="0.35">
      <c r="A3" s="18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 t="s">
        <v>23</v>
      </c>
      <c r="L3" s="18" t="s">
        <v>24</v>
      </c>
      <c r="M3" s="18" t="s">
        <v>25</v>
      </c>
      <c r="N3" s="18" t="s">
        <v>26</v>
      </c>
      <c r="O3" s="18" t="s">
        <v>27</v>
      </c>
      <c r="P3" s="18" t="s">
        <v>28</v>
      </c>
      <c r="Q3" s="18" t="s">
        <v>29</v>
      </c>
      <c r="R3" s="18" t="s">
        <v>30</v>
      </c>
      <c r="S3" s="18" t="s">
        <v>31</v>
      </c>
      <c r="T3" s="18" t="s">
        <v>32</v>
      </c>
      <c r="U3" s="18" t="s">
        <v>33</v>
      </c>
      <c r="V3" s="18" t="s">
        <v>34</v>
      </c>
      <c r="W3" s="18" t="s">
        <v>35</v>
      </c>
      <c r="X3" s="18" t="s">
        <v>36</v>
      </c>
      <c r="Y3" s="18" t="s">
        <v>37</v>
      </c>
      <c r="Z3" s="18" t="s">
        <v>38</v>
      </c>
      <c r="AA3" s="18" t="s">
        <v>39</v>
      </c>
      <c r="AB3" s="18" t="s">
        <v>40</v>
      </c>
      <c r="AC3" s="18" t="s">
        <v>41</v>
      </c>
      <c r="AD3" s="1"/>
      <c r="AE3" s="1"/>
    </row>
    <row r="4" spans="1:31" x14ac:dyDescent="0.35">
      <c r="A4" s="16">
        <f>'Var. Anual'!A5</f>
        <v>45292</v>
      </c>
      <c r="B4" s="6">
        <v>13955</v>
      </c>
      <c r="C4" s="6">
        <v>81440</v>
      </c>
      <c r="D4" s="6">
        <v>70393</v>
      </c>
      <c r="E4" s="6">
        <v>14697</v>
      </c>
      <c r="F4" s="6">
        <v>298616</v>
      </c>
      <c r="G4" s="6">
        <v>150403</v>
      </c>
      <c r="H4" s="6">
        <v>121557</v>
      </c>
      <c r="I4" s="6">
        <v>115680</v>
      </c>
      <c r="J4" s="6">
        <v>215341</v>
      </c>
      <c r="K4" s="6">
        <v>110920</v>
      </c>
      <c r="L4" s="6">
        <v>574870</v>
      </c>
      <c r="M4" s="6">
        <v>78543</v>
      </c>
      <c r="N4" s="6">
        <v>133914</v>
      </c>
      <c r="O4" s="6">
        <v>143380</v>
      </c>
      <c r="P4" s="6">
        <v>62320</v>
      </c>
      <c r="Q4" s="6">
        <v>190143</v>
      </c>
      <c r="R4" s="6">
        <v>41592</v>
      </c>
      <c r="S4" s="6">
        <v>407507</v>
      </c>
      <c r="T4" s="6">
        <v>563835</v>
      </c>
      <c r="U4" s="6">
        <v>68013</v>
      </c>
      <c r="V4" s="6">
        <v>50898</v>
      </c>
      <c r="W4" s="6">
        <v>9133</v>
      </c>
      <c r="X4" s="6">
        <v>349706</v>
      </c>
      <c r="Y4" s="6">
        <v>279867</v>
      </c>
      <c r="Z4" s="6">
        <v>43378</v>
      </c>
      <c r="AA4" s="6">
        <v>2057462</v>
      </c>
      <c r="AB4" s="6">
        <v>39467</v>
      </c>
      <c r="AC4" s="6">
        <f t="shared" ref="AC4:AC6" si="0">SUM(B4:AB4)</f>
        <v>6287030</v>
      </c>
      <c r="AD4" s="4"/>
      <c r="AE4" s="4"/>
    </row>
    <row r="5" spans="1:31" x14ac:dyDescent="0.35">
      <c r="A5" s="17">
        <f>'Var. Anual'!A6</f>
        <v>45323</v>
      </c>
      <c r="B5" s="3">
        <v>13959</v>
      </c>
      <c r="C5" s="3">
        <v>84031</v>
      </c>
      <c r="D5" s="3">
        <v>68283</v>
      </c>
      <c r="E5" s="3">
        <v>14736</v>
      </c>
      <c r="F5" s="3">
        <v>301507</v>
      </c>
      <c r="G5" s="3">
        <v>149602</v>
      </c>
      <c r="H5" s="3">
        <v>122141</v>
      </c>
      <c r="I5" s="3">
        <v>117215</v>
      </c>
      <c r="J5" s="3">
        <v>214962</v>
      </c>
      <c r="K5" s="3">
        <v>110996</v>
      </c>
      <c r="L5" s="3">
        <v>584245</v>
      </c>
      <c r="M5" s="3">
        <v>78669</v>
      </c>
      <c r="N5" s="3">
        <v>134771</v>
      </c>
      <c r="O5" s="3">
        <v>144085</v>
      </c>
      <c r="P5" s="3">
        <v>62775</v>
      </c>
      <c r="Q5" s="3">
        <v>190730</v>
      </c>
      <c r="R5" s="3">
        <v>41668</v>
      </c>
      <c r="S5" s="3">
        <v>406912</v>
      </c>
      <c r="T5" s="3">
        <v>558853</v>
      </c>
      <c r="U5" s="3">
        <v>68751</v>
      </c>
      <c r="V5" s="3">
        <v>50908</v>
      </c>
      <c r="W5" s="3">
        <v>9169</v>
      </c>
      <c r="X5" s="3">
        <v>350330</v>
      </c>
      <c r="Y5" s="3">
        <v>279964</v>
      </c>
      <c r="Z5" s="3">
        <v>43519</v>
      </c>
      <c r="AA5" s="3">
        <v>2028807</v>
      </c>
      <c r="AB5" s="3">
        <v>39582</v>
      </c>
      <c r="AC5" s="3">
        <v>6271170</v>
      </c>
      <c r="AD5" s="4"/>
      <c r="AE5" s="4"/>
    </row>
    <row r="6" spans="1:31" x14ac:dyDescent="0.35">
      <c r="A6" s="17">
        <f>'Var. Anual'!A7</f>
        <v>45352</v>
      </c>
      <c r="B6" s="3">
        <v>14015</v>
      </c>
      <c r="C6" s="3">
        <v>85735</v>
      </c>
      <c r="D6" s="3">
        <v>68696</v>
      </c>
      <c r="E6" s="3">
        <v>14753</v>
      </c>
      <c r="F6" s="3">
        <v>304381</v>
      </c>
      <c r="G6" s="3">
        <v>151893</v>
      </c>
      <c r="H6" s="3">
        <v>126184</v>
      </c>
      <c r="I6" s="3">
        <v>118397</v>
      </c>
      <c r="J6" s="3">
        <v>203867</v>
      </c>
      <c r="K6" s="3">
        <v>111562</v>
      </c>
      <c r="L6" s="3">
        <v>592753</v>
      </c>
      <c r="M6" s="3">
        <v>79428</v>
      </c>
      <c r="N6" s="3">
        <v>135027</v>
      </c>
      <c r="O6" s="3">
        <v>145360</v>
      </c>
      <c r="P6" s="3">
        <v>63237</v>
      </c>
      <c r="Q6" s="3">
        <v>190683</v>
      </c>
      <c r="R6" s="3">
        <v>42142</v>
      </c>
      <c r="S6" s="3">
        <v>409948</v>
      </c>
      <c r="T6" s="3">
        <v>559350</v>
      </c>
      <c r="U6" s="3">
        <v>68999</v>
      </c>
      <c r="V6" s="3">
        <v>51193</v>
      </c>
      <c r="W6" s="3">
        <v>9238</v>
      </c>
      <c r="X6" s="3">
        <v>353786</v>
      </c>
      <c r="Y6" s="3">
        <v>283623</v>
      </c>
      <c r="Z6" s="3">
        <v>44064</v>
      </c>
      <c r="AA6" s="3">
        <v>2024760</v>
      </c>
      <c r="AB6" s="3">
        <v>39841</v>
      </c>
      <c r="AC6" s="3">
        <f t="shared" si="0"/>
        <v>6292915</v>
      </c>
      <c r="AD6" s="4"/>
      <c r="AE6" s="4"/>
    </row>
    <row r="7" spans="1:31" x14ac:dyDescent="0.35">
      <c r="A7" s="17">
        <f>'Var. Anual'!A8</f>
        <v>45383</v>
      </c>
      <c r="B7" s="3">
        <v>14130</v>
      </c>
      <c r="C7" s="3">
        <v>81935</v>
      </c>
      <c r="D7" s="3">
        <v>72232</v>
      </c>
      <c r="E7" s="3">
        <v>14895</v>
      </c>
      <c r="F7" s="3">
        <v>306361</v>
      </c>
      <c r="G7" s="3">
        <v>152631</v>
      </c>
      <c r="H7" s="3">
        <v>128958</v>
      </c>
      <c r="I7" s="3">
        <v>121813</v>
      </c>
      <c r="J7" s="3">
        <v>205228</v>
      </c>
      <c r="K7" s="3">
        <v>111757</v>
      </c>
      <c r="L7" s="3">
        <v>597453</v>
      </c>
      <c r="M7" s="3">
        <v>80293</v>
      </c>
      <c r="N7" s="3">
        <v>152814</v>
      </c>
      <c r="O7" s="3">
        <v>146835</v>
      </c>
      <c r="P7" s="3">
        <v>63974</v>
      </c>
      <c r="Q7" s="3">
        <v>191957</v>
      </c>
      <c r="R7" s="3">
        <v>42293</v>
      </c>
      <c r="S7" s="3">
        <v>413312</v>
      </c>
      <c r="T7" s="3">
        <v>567973</v>
      </c>
      <c r="U7" s="3">
        <v>69326</v>
      </c>
      <c r="V7" s="3">
        <v>51933</v>
      </c>
      <c r="W7" s="3">
        <v>9248</v>
      </c>
      <c r="X7" s="3">
        <v>353618</v>
      </c>
      <c r="Y7" s="3">
        <v>285668</v>
      </c>
      <c r="Z7" s="3">
        <v>43999</v>
      </c>
      <c r="AA7" s="3">
        <v>2037306</v>
      </c>
      <c r="AB7" s="3">
        <v>40412</v>
      </c>
      <c r="AC7" s="3">
        <v>6358354</v>
      </c>
      <c r="AD7" s="4"/>
      <c r="AE7" s="4"/>
    </row>
    <row r="8" spans="1:31" x14ac:dyDescent="0.35">
      <c r="A8" s="17">
        <f>'Var. Anual'!A9</f>
        <v>45413</v>
      </c>
      <c r="B8" s="3">
        <v>14168</v>
      </c>
      <c r="C8" s="3">
        <v>81624</v>
      </c>
      <c r="D8" s="3">
        <v>74120</v>
      </c>
      <c r="E8" s="3">
        <v>14928</v>
      </c>
      <c r="F8" s="3">
        <v>306318</v>
      </c>
      <c r="G8" s="3">
        <v>152906</v>
      </c>
      <c r="H8" s="3">
        <v>133071</v>
      </c>
      <c r="I8" s="3">
        <v>120580</v>
      </c>
      <c r="J8" s="3">
        <v>205241</v>
      </c>
      <c r="K8" s="3">
        <v>112595</v>
      </c>
      <c r="L8" s="3">
        <v>593896</v>
      </c>
      <c r="M8" s="3">
        <v>80958</v>
      </c>
      <c r="N8" s="3">
        <v>153355</v>
      </c>
      <c r="O8" s="3">
        <v>149270</v>
      </c>
      <c r="P8" s="3">
        <v>64299</v>
      </c>
      <c r="Q8" s="3">
        <v>193121</v>
      </c>
      <c r="R8" s="3">
        <v>42646</v>
      </c>
      <c r="S8" s="3">
        <v>414700</v>
      </c>
      <c r="T8" s="3">
        <v>567971</v>
      </c>
      <c r="U8" s="3">
        <v>69764</v>
      </c>
      <c r="V8" s="3">
        <v>51537</v>
      </c>
      <c r="W8" s="3">
        <v>9336</v>
      </c>
      <c r="X8" s="3">
        <v>342786</v>
      </c>
      <c r="Y8" s="3">
        <v>288353</v>
      </c>
      <c r="Z8" s="3">
        <v>44169</v>
      </c>
      <c r="AA8" s="3">
        <v>2160767</v>
      </c>
      <c r="AB8" s="3">
        <v>40626</v>
      </c>
      <c r="AC8" s="3">
        <v>6483105</v>
      </c>
      <c r="AD8" s="4"/>
      <c r="AE8" s="4"/>
    </row>
    <row r="9" spans="1:31" x14ac:dyDescent="0.35">
      <c r="A9" s="17">
        <f>'Var. Anual'!A10</f>
        <v>45444</v>
      </c>
      <c r="B9" s="3">
        <v>14240</v>
      </c>
      <c r="C9" s="3">
        <v>81600</v>
      </c>
      <c r="D9" s="3">
        <v>74633</v>
      </c>
      <c r="E9" s="3">
        <v>14929</v>
      </c>
      <c r="F9" s="3">
        <v>307072</v>
      </c>
      <c r="G9" s="3">
        <v>153524</v>
      </c>
      <c r="H9" s="3">
        <v>134758</v>
      </c>
      <c r="I9" s="3">
        <v>121698</v>
      </c>
      <c r="J9" s="3">
        <v>198001</v>
      </c>
      <c r="K9" s="3">
        <v>112628</v>
      </c>
      <c r="L9" s="3">
        <v>584172</v>
      </c>
      <c r="M9" s="3">
        <v>81506</v>
      </c>
      <c r="N9" s="3">
        <v>153244</v>
      </c>
      <c r="O9" s="3">
        <v>149745</v>
      </c>
      <c r="P9" s="3">
        <v>64908</v>
      </c>
      <c r="Q9" s="3">
        <v>192019</v>
      </c>
      <c r="R9" s="3">
        <v>42785</v>
      </c>
      <c r="S9" s="3">
        <v>416411</v>
      </c>
      <c r="T9" s="3">
        <v>572028</v>
      </c>
      <c r="U9" s="3">
        <v>70095</v>
      </c>
      <c r="V9" s="3">
        <v>51778</v>
      </c>
      <c r="W9" s="3">
        <v>9386</v>
      </c>
      <c r="X9" s="3">
        <v>333153</v>
      </c>
      <c r="Y9" s="3">
        <v>289779</v>
      </c>
      <c r="Z9" s="3">
        <v>44136</v>
      </c>
      <c r="AA9" s="3">
        <v>2219358</v>
      </c>
      <c r="AB9" s="3">
        <v>40748</v>
      </c>
      <c r="AC9" s="3">
        <f t="shared" ref="AC9:AC14" si="1">SUM(B9:AB9)</f>
        <v>6528334</v>
      </c>
      <c r="AD9" s="4"/>
      <c r="AE9" s="4"/>
    </row>
    <row r="10" spans="1:31" x14ac:dyDescent="0.35">
      <c r="A10" s="17">
        <f>'Var. Anual'!A11</f>
        <v>45474</v>
      </c>
      <c r="B10" s="3">
        <v>14145</v>
      </c>
      <c r="C10" s="3">
        <v>78833</v>
      </c>
      <c r="D10" s="3">
        <v>74714</v>
      </c>
      <c r="E10" s="3">
        <v>14859</v>
      </c>
      <c r="F10" s="3">
        <v>303664</v>
      </c>
      <c r="G10" s="3">
        <v>151885</v>
      </c>
      <c r="H10" s="3">
        <v>136107</v>
      </c>
      <c r="I10" s="3">
        <v>120620</v>
      </c>
      <c r="J10" s="3">
        <v>197637</v>
      </c>
      <c r="K10" s="3">
        <v>114584</v>
      </c>
      <c r="L10" s="3">
        <v>578159</v>
      </c>
      <c r="M10" s="3">
        <v>81203</v>
      </c>
      <c r="N10" s="3">
        <v>155672</v>
      </c>
      <c r="O10" s="3">
        <v>150047</v>
      </c>
      <c r="P10" s="3">
        <v>64413</v>
      </c>
      <c r="Q10" s="3">
        <v>191179</v>
      </c>
      <c r="R10" s="3">
        <v>42412</v>
      </c>
      <c r="S10" s="3">
        <v>415914</v>
      </c>
      <c r="T10" s="3">
        <v>574999</v>
      </c>
      <c r="U10" s="3">
        <v>69795</v>
      </c>
      <c r="V10" s="3">
        <v>51662</v>
      </c>
      <c r="W10" s="3">
        <v>9337</v>
      </c>
      <c r="X10" s="3">
        <v>343339</v>
      </c>
      <c r="Y10" s="3">
        <v>285884</v>
      </c>
      <c r="Z10" s="3">
        <v>43937</v>
      </c>
      <c r="AA10" s="3">
        <v>2211389</v>
      </c>
      <c r="AB10" s="3">
        <v>40608</v>
      </c>
      <c r="AC10" s="3">
        <f t="shared" si="1"/>
        <v>6516997</v>
      </c>
      <c r="AD10" s="4"/>
      <c r="AE10" s="4"/>
    </row>
    <row r="11" spans="1:31" x14ac:dyDescent="0.35">
      <c r="A11" s="17">
        <f>'Var. Anual'!A12</f>
        <v>45505</v>
      </c>
      <c r="B11" s="3">
        <v>14143</v>
      </c>
      <c r="C11" s="3">
        <v>74585</v>
      </c>
      <c r="D11" s="3">
        <v>75253</v>
      </c>
      <c r="E11" s="3">
        <v>14814</v>
      </c>
      <c r="F11" s="3">
        <v>302446</v>
      </c>
      <c r="G11" s="3">
        <v>150925</v>
      </c>
      <c r="H11" s="3">
        <v>137223</v>
      </c>
      <c r="I11" s="3">
        <v>120123</v>
      </c>
      <c r="J11" s="3">
        <v>197242</v>
      </c>
      <c r="K11" s="3">
        <v>114851</v>
      </c>
      <c r="L11" s="3">
        <v>574335</v>
      </c>
      <c r="M11" s="3">
        <v>81107</v>
      </c>
      <c r="N11" s="3">
        <v>156763</v>
      </c>
      <c r="O11" s="3">
        <v>150381</v>
      </c>
      <c r="P11" s="3">
        <v>66265</v>
      </c>
      <c r="Q11" s="3">
        <v>190652</v>
      </c>
      <c r="R11" s="3">
        <v>42761</v>
      </c>
      <c r="S11" s="3">
        <v>413980</v>
      </c>
      <c r="T11" s="3">
        <v>572283</v>
      </c>
      <c r="U11" s="3">
        <v>69857</v>
      </c>
      <c r="V11" s="3">
        <v>52396</v>
      </c>
      <c r="W11" s="3">
        <v>9314</v>
      </c>
      <c r="X11" s="3">
        <v>343192</v>
      </c>
      <c r="Y11" s="3">
        <v>285311</v>
      </c>
      <c r="Z11" s="3">
        <v>43751</v>
      </c>
      <c r="AA11" s="3">
        <v>2198194</v>
      </c>
      <c r="AB11" s="3">
        <v>40608</v>
      </c>
      <c r="AC11" s="3">
        <f t="shared" si="1"/>
        <v>6492755</v>
      </c>
      <c r="AD11" s="4"/>
      <c r="AE11" s="4"/>
    </row>
    <row r="12" spans="1:31" x14ac:dyDescent="0.35">
      <c r="A12" s="17">
        <f>'Var. Anual'!A13</f>
        <v>45536</v>
      </c>
      <c r="B12" s="3">
        <v>14105</v>
      </c>
      <c r="C12" s="3">
        <v>75088</v>
      </c>
      <c r="D12" s="3">
        <v>75495</v>
      </c>
      <c r="E12" s="3">
        <v>14805</v>
      </c>
      <c r="F12" s="3">
        <v>305538</v>
      </c>
      <c r="G12" s="3">
        <v>151669</v>
      </c>
      <c r="H12" s="3">
        <v>138790</v>
      </c>
      <c r="I12" s="3">
        <v>121167</v>
      </c>
      <c r="J12" s="3">
        <v>198425</v>
      </c>
      <c r="K12" s="3">
        <v>115687</v>
      </c>
      <c r="L12" s="3">
        <v>577519</v>
      </c>
      <c r="M12" s="3">
        <v>81557</v>
      </c>
      <c r="N12" s="3">
        <v>158034</v>
      </c>
      <c r="O12" s="3">
        <v>150591</v>
      </c>
      <c r="P12" s="3">
        <v>67162</v>
      </c>
      <c r="Q12" s="3">
        <v>190434</v>
      </c>
      <c r="R12" s="3">
        <v>42849</v>
      </c>
      <c r="S12" s="3">
        <v>414119</v>
      </c>
      <c r="T12" s="3">
        <v>574450</v>
      </c>
      <c r="U12" s="3">
        <v>70058</v>
      </c>
      <c r="V12" s="3">
        <v>52628</v>
      </c>
      <c r="W12" s="3">
        <v>9359</v>
      </c>
      <c r="X12" s="3">
        <v>346234</v>
      </c>
      <c r="Y12" s="3">
        <v>286830</v>
      </c>
      <c r="Z12" s="3">
        <v>42872</v>
      </c>
      <c r="AA12" s="3">
        <v>2207002</v>
      </c>
      <c r="AB12" s="3">
        <v>40798</v>
      </c>
      <c r="AC12" s="3">
        <f t="shared" si="1"/>
        <v>6523265</v>
      </c>
      <c r="AD12" s="4"/>
      <c r="AE12" s="4"/>
    </row>
    <row r="13" spans="1:31" x14ac:dyDescent="0.35">
      <c r="A13" s="17">
        <f>'Var. Anual'!A14</f>
        <v>45566</v>
      </c>
      <c r="B13" s="3">
        <v>14237</v>
      </c>
      <c r="C13" s="3">
        <v>75340</v>
      </c>
      <c r="D13" s="3">
        <v>76086</v>
      </c>
      <c r="E13" s="3">
        <v>14885</v>
      </c>
      <c r="F13" s="3">
        <v>313144</v>
      </c>
      <c r="G13" s="3">
        <v>153628</v>
      </c>
      <c r="H13" s="3">
        <v>142018</v>
      </c>
      <c r="I13" s="3">
        <v>122137</v>
      </c>
      <c r="J13" s="3">
        <v>200276</v>
      </c>
      <c r="K13" s="3">
        <v>116594</v>
      </c>
      <c r="L13" s="3">
        <v>584160</v>
      </c>
      <c r="M13" s="3">
        <v>82556</v>
      </c>
      <c r="N13" s="3">
        <v>159751</v>
      </c>
      <c r="O13" s="3">
        <v>151976</v>
      </c>
      <c r="P13" s="3">
        <v>68762</v>
      </c>
      <c r="Q13" s="3">
        <v>187966</v>
      </c>
      <c r="R13" s="3">
        <v>43492</v>
      </c>
      <c r="S13" s="3">
        <v>417944</v>
      </c>
      <c r="T13" s="3">
        <v>575161</v>
      </c>
      <c r="U13" s="3">
        <v>70590</v>
      </c>
      <c r="V13" s="3">
        <v>52993</v>
      </c>
      <c r="W13" s="3">
        <v>9522</v>
      </c>
      <c r="X13" s="3">
        <v>343431</v>
      </c>
      <c r="Y13" s="3">
        <v>289585</v>
      </c>
      <c r="Z13" s="3">
        <v>43382</v>
      </c>
      <c r="AA13" s="3">
        <v>2227637</v>
      </c>
      <c r="AB13" s="3">
        <v>41698</v>
      </c>
      <c r="AC13" s="3">
        <f t="shared" si="1"/>
        <v>6578951</v>
      </c>
      <c r="AD13" s="1"/>
      <c r="AE13" s="4"/>
    </row>
    <row r="14" spans="1:31" x14ac:dyDescent="0.35">
      <c r="A14" s="17">
        <f>'Var. Anual'!A15</f>
        <v>45597</v>
      </c>
      <c r="B14" s="3">
        <v>13379</v>
      </c>
      <c r="C14" s="3">
        <v>75110</v>
      </c>
      <c r="D14" s="3">
        <v>76576</v>
      </c>
      <c r="E14" s="3">
        <v>14659</v>
      </c>
      <c r="F14" s="3">
        <v>304015</v>
      </c>
      <c r="G14" s="3">
        <v>153225</v>
      </c>
      <c r="H14" s="3">
        <v>142839</v>
      </c>
      <c r="I14" s="3">
        <v>121974</v>
      </c>
      <c r="J14" s="3">
        <v>197973</v>
      </c>
      <c r="K14" s="3">
        <v>104496</v>
      </c>
      <c r="L14" s="3">
        <v>589210</v>
      </c>
      <c r="M14" s="3">
        <v>82630</v>
      </c>
      <c r="N14" s="3">
        <v>158443</v>
      </c>
      <c r="O14" s="3">
        <v>152914</v>
      </c>
      <c r="P14" s="3">
        <v>69927</v>
      </c>
      <c r="Q14" s="3">
        <v>187194</v>
      </c>
      <c r="R14" s="3">
        <v>43652</v>
      </c>
      <c r="S14" s="3">
        <v>415429</v>
      </c>
      <c r="T14" s="3">
        <v>579233</v>
      </c>
      <c r="U14" s="3">
        <v>71144</v>
      </c>
      <c r="V14" s="3">
        <v>53591</v>
      </c>
      <c r="W14" s="3">
        <v>9482</v>
      </c>
      <c r="X14" s="3">
        <v>345988</v>
      </c>
      <c r="Y14" s="3">
        <v>282314</v>
      </c>
      <c r="Z14" s="3">
        <v>41162</v>
      </c>
      <c r="AA14" s="3">
        <v>2245112</v>
      </c>
      <c r="AB14" s="3">
        <v>41964</v>
      </c>
      <c r="AC14" s="3">
        <f t="shared" si="1"/>
        <v>6573635</v>
      </c>
      <c r="AD14" s="1"/>
      <c r="AE14" s="4"/>
    </row>
    <row r="15" spans="1:31" x14ac:dyDescent="0.35">
      <c r="A15" s="19">
        <f>'Var. Anual'!A16</f>
        <v>45627</v>
      </c>
      <c r="B15" s="20">
        <v>13229</v>
      </c>
      <c r="C15" s="20">
        <v>74382</v>
      </c>
      <c r="D15" s="20">
        <v>75588</v>
      </c>
      <c r="E15" s="20">
        <v>14615</v>
      </c>
      <c r="F15" s="20">
        <v>301189</v>
      </c>
      <c r="G15" s="20">
        <v>153415</v>
      </c>
      <c r="H15" s="20">
        <v>141820</v>
      </c>
      <c r="I15" s="20">
        <v>118439</v>
      </c>
      <c r="J15" s="20">
        <v>210996</v>
      </c>
      <c r="K15" s="20">
        <v>106180</v>
      </c>
      <c r="L15" s="20">
        <v>581958</v>
      </c>
      <c r="M15" s="20">
        <v>81702</v>
      </c>
      <c r="N15" s="20">
        <v>158911</v>
      </c>
      <c r="O15" s="20">
        <v>154170</v>
      </c>
      <c r="P15" s="20">
        <v>69524</v>
      </c>
      <c r="Q15" s="20">
        <v>181991</v>
      </c>
      <c r="R15" s="20">
        <v>43958</v>
      </c>
      <c r="S15" s="20">
        <v>412437</v>
      </c>
      <c r="T15" s="20">
        <v>571934</v>
      </c>
      <c r="U15" s="20">
        <v>70067</v>
      </c>
      <c r="V15" s="20">
        <v>49186</v>
      </c>
      <c r="W15" s="20">
        <v>9500</v>
      </c>
      <c r="X15" s="20">
        <v>344052</v>
      </c>
      <c r="Y15" s="20">
        <v>283068</v>
      </c>
      <c r="Z15" s="20">
        <v>40727</v>
      </c>
      <c r="AA15" s="20">
        <v>2253435</v>
      </c>
      <c r="AB15" s="20">
        <v>41995</v>
      </c>
      <c r="AC15" s="20">
        <v>6558468</v>
      </c>
      <c r="AD15" s="1"/>
      <c r="AE15" s="4"/>
    </row>
    <row r="16" spans="1:31" x14ac:dyDescent="0.35">
      <c r="A16" s="16">
        <f>'Var. Anual'!A17</f>
        <v>45658</v>
      </c>
      <c r="B16" s="6">
        <v>13535</v>
      </c>
      <c r="C16" s="6">
        <v>75933</v>
      </c>
      <c r="D16" s="6">
        <v>78186</v>
      </c>
      <c r="E16" s="6">
        <v>14843</v>
      </c>
      <c r="F16" s="6">
        <v>305705</v>
      </c>
      <c r="G16" s="6">
        <v>156715</v>
      </c>
      <c r="H16" s="6">
        <v>145067</v>
      </c>
      <c r="I16" s="6">
        <v>119927</v>
      </c>
      <c r="J16" s="6">
        <v>213657</v>
      </c>
      <c r="K16" s="6">
        <v>108742</v>
      </c>
      <c r="L16" s="6">
        <v>598890</v>
      </c>
      <c r="M16" s="6">
        <v>85455</v>
      </c>
      <c r="N16" s="6">
        <v>131280</v>
      </c>
      <c r="O16" s="6">
        <v>158447</v>
      </c>
      <c r="P16" s="6">
        <v>72002</v>
      </c>
      <c r="Q16" s="6">
        <v>185548</v>
      </c>
      <c r="R16" s="6">
        <v>44926</v>
      </c>
      <c r="S16" s="6">
        <v>420748</v>
      </c>
      <c r="T16" s="6">
        <v>589651</v>
      </c>
      <c r="U16" s="6">
        <v>71847</v>
      </c>
      <c r="V16" s="6">
        <v>50322</v>
      </c>
      <c r="W16" s="6">
        <v>9627</v>
      </c>
      <c r="X16" s="6">
        <v>346984</v>
      </c>
      <c r="Y16" s="6">
        <v>288002</v>
      </c>
      <c r="Z16" s="6">
        <v>40633</v>
      </c>
      <c r="AA16" s="6">
        <v>2290758</v>
      </c>
      <c r="AB16" s="6">
        <v>43135</v>
      </c>
      <c r="AC16" s="6">
        <v>6660565</v>
      </c>
      <c r="AD16" s="4"/>
      <c r="AE16" s="4"/>
    </row>
    <row r="17" spans="1:31" x14ac:dyDescent="0.35">
      <c r="A17" s="17">
        <f>'Var. Anual'!A18</f>
        <v>45689</v>
      </c>
      <c r="B17" s="3">
        <v>13851</v>
      </c>
      <c r="C17" s="3">
        <v>76582</v>
      </c>
      <c r="D17" s="3">
        <v>80901</v>
      </c>
      <c r="E17" s="3">
        <v>15191</v>
      </c>
      <c r="F17" s="3">
        <v>310540</v>
      </c>
      <c r="G17" s="3">
        <v>157992</v>
      </c>
      <c r="H17" s="3">
        <v>148988</v>
      </c>
      <c r="I17" s="3">
        <v>120867</v>
      </c>
      <c r="J17" s="3">
        <v>218662</v>
      </c>
      <c r="K17" s="3">
        <v>110240</v>
      </c>
      <c r="L17" s="3">
        <v>613777</v>
      </c>
      <c r="M17" s="3">
        <v>88237</v>
      </c>
      <c r="N17" s="3">
        <v>132997</v>
      </c>
      <c r="O17" s="3">
        <v>161473</v>
      </c>
      <c r="P17" s="3">
        <v>73522</v>
      </c>
      <c r="Q17" s="3">
        <v>189150</v>
      </c>
      <c r="R17" s="3">
        <v>45456</v>
      </c>
      <c r="S17" s="3">
        <v>426804</v>
      </c>
      <c r="T17" s="3">
        <v>604213</v>
      </c>
      <c r="U17" s="3">
        <v>73656</v>
      </c>
      <c r="V17" s="3">
        <v>50827</v>
      </c>
      <c r="W17" s="3">
        <v>9813</v>
      </c>
      <c r="X17" s="3">
        <v>353721</v>
      </c>
      <c r="Y17" s="3">
        <v>292568</v>
      </c>
      <c r="Z17" s="3">
        <v>40855</v>
      </c>
      <c r="AA17" s="3">
        <v>2335355</v>
      </c>
      <c r="AB17" s="3">
        <v>44120</v>
      </c>
      <c r="AC17" s="3">
        <v>6790358</v>
      </c>
      <c r="AD17" s="4"/>
      <c r="AE17" s="4"/>
    </row>
    <row r="18" spans="1:31" x14ac:dyDescent="0.35">
      <c r="A18" s="17">
        <f>'Var. Anual'!A19</f>
        <v>45717</v>
      </c>
      <c r="B18" s="3">
        <v>14207</v>
      </c>
      <c r="C18" s="3">
        <v>76234</v>
      </c>
      <c r="D18" s="3">
        <v>83263</v>
      </c>
      <c r="E18" s="3">
        <v>15412</v>
      </c>
      <c r="F18" s="3">
        <v>315948</v>
      </c>
      <c r="G18" s="3">
        <v>162522</v>
      </c>
      <c r="H18" s="3">
        <v>152909</v>
      </c>
      <c r="I18" s="3">
        <v>121748</v>
      </c>
      <c r="J18" s="3">
        <v>223452</v>
      </c>
      <c r="K18" s="3">
        <v>113721</v>
      </c>
      <c r="L18" s="3">
        <v>628507</v>
      </c>
      <c r="M18" s="3">
        <v>90737</v>
      </c>
      <c r="N18" s="3">
        <v>135852</v>
      </c>
      <c r="O18" s="3">
        <v>165197</v>
      </c>
      <c r="P18" s="3">
        <v>74782</v>
      </c>
      <c r="Q18" s="3">
        <v>192633</v>
      </c>
      <c r="R18" s="3">
        <v>46531</v>
      </c>
      <c r="S18" s="3">
        <v>436741</v>
      </c>
      <c r="T18" s="3">
        <v>617299</v>
      </c>
      <c r="U18" s="3">
        <v>75165</v>
      </c>
      <c r="V18" s="3">
        <v>51797</v>
      </c>
      <c r="W18" s="3">
        <v>10071</v>
      </c>
      <c r="X18" s="3">
        <v>361595</v>
      </c>
      <c r="Y18" s="3">
        <v>299021</v>
      </c>
      <c r="Z18" s="3">
        <v>41509</v>
      </c>
      <c r="AA18" s="3">
        <v>2378055</v>
      </c>
      <c r="AB18" s="3">
        <v>45269</v>
      </c>
      <c r="AC18" s="3">
        <v>6930177</v>
      </c>
      <c r="AD18" s="4"/>
      <c r="AE18" s="4"/>
    </row>
    <row r="19" spans="1:31" x14ac:dyDescent="0.35">
      <c r="A19" s="17">
        <f>'Var. Anual'!A20</f>
        <v>45748</v>
      </c>
      <c r="B19" s="3">
        <v>14662</v>
      </c>
      <c r="C19" s="3">
        <v>76669</v>
      </c>
      <c r="D19" s="3">
        <v>86151</v>
      </c>
      <c r="E19" s="3">
        <v>16006</v>
      </c>
      <c r="F19" s="3">
        <v>321935</v>
      </c>
      <c r="G19" s="3">
        <v>167028</v>
      </c>
      <c r="H19" s="3">
        <v>158882</v>
      </c>
      <c r="I19" s="3">
        <v>124562</v>
      </c>
      <c r="J19" s="3">
        <v>231231</v>
      </c>
      <c r="K19" s="3">
        <v>115873</v>
      </c>
      <c r="L19" s="3">
        <v>648868</v>
      </c>
      <c r="M19" s="3">
        <v>88442</v>
      </c>
      <c r="N19" s="3">
        <v>140134</v>
      </c>
      <c r="O19" s="3">
        <v>169818</v>
      </c>
      <c r="P19" s="3">
        <v>78507</v>
      </c>
      <c r="Q19" s="3">
        <v>197015</v>
      </c>
      <c r="R19" s="3">
        <v>47917</v>
      </c>
      <c r="S19" s="3">
        <v>452947</v>
      </c>
      <c r="T19" s="3">
        <v>639016</v>
      </c>
      <c r="U19" s="3">
        <v>77895</v>
      </c>
      <c r="V19" s="3">
        <v>51894</v>
      </c>
      <c r="W19" s="3">
        <v>10420</v>
      </c>
      <c r="X19" s="3">
        <v>377897</v>
      </c>
      <c r="Y19" s="3">
        <v>307380</v>
      </c>
      <c r="Z19" s="3">
        <v>42287</v>
      </c>
      <c r="AA19" s="3">
        <v>2436458</v>
      </c>
      <c r="AB19" s="3">
        <v>46880</v>
      </c>
      <c r="AC19" s="3">
        <v>7126774</v>
      </c>
      <c r="AD19" s="4"/>
      <c r="AE19" s="4"/>
    </row>
    <row r="20" spans="1:31" x14ac:dyDescent="0.35">
      <c r="A20" s="17">
        <f>'Var. Anual'!A21</f>
        <v>45778</v>
      </c>
      <c r="B20" s="3">
        <v>14930</v>
      </c>
      <c r="C20" s="3">
        <v>77113</v>
      </c>
      <c r="D20" s="3">
        <v>88617</v>
      </c>
      <c r="E20" s="3">
        <v>16210</v>
      </c>
      <c r="F20" s="3">
        <v>326338</v>
      </c>
      <c r="G20" s="3">
        <v>170250</v>
      </c>
      <c r="H20" s="3">
        <v>162526</v>
      </c>
      <c r="I20" s="3">
        <v>123629</v>
      </c>
      <c r="J20" s="3">
        <v>234313</v>
      </c>
      <c r="K20" s="3">
        <v>116232</v>
      </c>
      <c r="L20" s="3">
        <v>665374</v>
      </c>
      <c r="M20" s="3">
        <v>98640</v>
      </c>
      <c r="N20" s="3">
        <v>141181</v>
      </c>
      <c r="O20" s="3">
        <v>172067</v>
      </c>
      <c r="P20" s="3">
        <v>81382</v>
      </c>
      <c r="Q20" s="3">
        <v>200333</v>
      </c>
      <c r="R20" s="3">
        <v>48240</v>
      </c>
      <c r="S20" s="3">
        <v>461735</v>
      </c>
      <c r="T20" s="3">
        <v>650646</v>
      </c>
      <c r="U20" s="3">
        <v>79100</v>
      </c>
      <c r="V20" s="3">
        <v>52629</v>
      </c>
      <c r="W20" s="3">
        <v>10549</v>
      </c>
      <c r="X20" s="3">
        <v>388770</v>
      </c>
      <c r="Y20" s="3">
        <v>320662</v>
      </c>
      <c r="Z20" s="3">
        <v>41881</v>
      </c>
      <c r="AA20" s="3">
        <v>2482933</v>
      </c>
      <c r="AB20" s="3">
        <v>47891</v>
      </c>
      <c r="AC20" s="3">
        <v>7274171</v>
      </c>
      <c r="AD20" s="4"/>
      <c r="AE20" s="4"/>
    </row>
    <row r="21" spans="1:31" x14ac:dyDescent="0.35">
      <c r="A21" s="17">
        <f>'Var. Anual'!A22</f>
        <v>45809</v>
      </c>
      <c r="B21" s="3">
        <v>14990</v>
      </c>
      <c r="C21" s="3">
        <v>77242</v>
      </c>
      <c r="D21" s="3">
        <v>90392</v>
      </c>
      <c r="E21" s="3">
        <v>16224</v>
      </c>
      <c r="F21" s="3">
        <v>326546</v>
      </c>
      <c r="G21" s="3">
        <v>172057</v>
      </c>
      <c r="H21" s="3">
        <v>165442</v>
      </c>
      <c r="I21" s="3">
        <v>124035</v>
      </c>
      <c r="J21" s="3">
        <v>238704</v>
      </c>
      <c r="K21" s="3">
        <v>117326</v>
      </c>
      <c r="L21" s="3">
        <v>678991</v>
      </c>
      <c r="M21" s="3">
        <v>101151</v>
      </c>
      <c r="N21" s="3">
        <v>142707</v>
      </c>
      <c r="O21" s="3">
        <v>174195</v>
      </c>
      <c r="P21" s="3">
        <v>84427</v>
      </c>
      <c r="Q21" s="3">
        <v>202138</v>
      </c>
      <c r="R21" s="3">
        <v>48424</v>
      </c>
      <c r="S21" s="3">
        <v>475130</v>
      </c>
      <c r="T21" s="3">
        <v>664670</v>
      </c>
      <c r="U21" s="3">
        <v>79800</v>
      </c>
      <c r="V21" s="3">
        <v>53273</v>
      </c>
      <c r="W21" s="3">
        <v>10890</v>
      </c>
      <c r="X21" s="3">
        <v>395230</v>
      </c>
      <c r="Y21" s="3">
        <v>327948</v>
      </c>
      <c r="Z21" s="3">
        <v>42097</v>
      </c>
      <c r="AA21" s="3">
        <v>2507885</v>
      </c>
      <c r="AB21" s="3">
        <v>48846</v>
      </c>
      <c r="AC21" s="3">
        <v>7380760</v>
      </c>
      <c r="AD21" s="4"/>
      <c r="AE21" s="4"/>
    </row>
    <row r="22" spans="1:31" x14ac:dyDescent="0.35">
      <c r="A22" s="17">
        <f>'Var. Anual'!A23</f>
        <v>45839</v>
      </c>
      <c r="B22" s="3">
        <v>15289</v>
      </c>
      <c r="C22" s="3">
        <v>78661</v>
      </c>
      <c r="D22" s="3">
        <v>118181</v>
      </c>
      <c r="E22" s="3">
        <v>16797</v>
      </c>
      <c r="F22" s="3">
        <v>332646</v>
      </c>
      <c r="G22" s="3">
        <v>176020</v>
      </c>
      <c r="H22" s="3">
        <v>170573</v>
      </c>
      <c r="I22" s="3">
        <v>127201</v>
      </c>
      <c r="J22" s="3">
        <v>244104</v>
      </c>
      <c r="K22" s="3">
        <v>119734</v>
      </c>
      <c r="L22" s="3">
        <v>697789</v>
      </c>
      <c r="M22" s="3">
        <v>104350</v>
      </c>
      <c r="N22" s="3">
        <v>146369</v>
      </c>
      <c r="O22" s="3">
        <v>178584</v>
      </c>
      <c r="P22" s="3">
        <v>86567</v>
      </c>
      <c r="Q22" s="3">
        <v>206810</v>
      </c>
      <c r="R22" s="3">
        <v>49470</v>
      </c>
      <c r="S22" s="3">
        <v>488520</v>
      </c>
      <c r="T22" s="3">
        <v>685956</v>
      </c>
      <c r="U22" s="3">
        <v>82212</v>
      </c>
      <c r="V22" s="3">
        <v>53232</v>
      </c>
      <c r="W22" s="3">
        <v>11245</v>
      </c>
      <c r="X22" s="3">
        <v>408655</v>
      </c>
      <c r="Y22" s="3">
        <v>337150</v>
      </c>
      <c r="Z22" s="3">
        <v>42791</v>
      </c>
      <c r="AA22" s="3">
        <v>2554642</v>
      </c>
      <c r="AB22" s="3">
        <v>50754</v>
      </c>
      <c r="AC22" s="3">
        <v>7584302</v>
      </c>
      <c r="AD22" s="4"/>
      <c r="AE22" s="4"/>
    </row>
    <row r="23" spans="1:31" x14ac:dyDescent="0.35">
      <c r="A23" s="17">
        <f>'Var. Anual'!A24</f>
        <v>45870</v>
      </c>
      <c r="B23" s="3">
        <v>15559</v>
      </c>
      <c r="C23" s="3">
        <v>66694</v>
      </c>
      <c r="D23" s="3">
        <v>123590</v>
      </c>
      <c r="E23" s="3">
        <v>17024</v>
      </c>
      <c r="F23" s="3">
        <v>337713</v>
      </c>
      <c r="G23" s="3">
        <v>179700</v>
      </c>
      <c r="H23" s="3">
        <v>173488</v>
      </c>
      <c r="I23" s="3">
        <v>128687</v>
      </c>
      <c r="J23" s="3">
        <v>247451</v>
      </c>
      <c r="K23" s="3">
        <v>121526</v>
      </c>
      <c r="L23" s="3">
        <v>711206</v>
      </c>
      <c r="M23" s="3">
        <v>106724</v>
      </c>
      <c r="N23" s="3">
        <v>148083</v>
      </c>
      <c r="O23" s="3">
        <v>183008</v>
      </c>
      <c r="P23" s="3">
        <v>88494</v>
      </c>
      <c r="Q23" s="3">
        <v>209798</v>
      </c>
      <c r="R23" s="3">
        <v>50313</v>
      </c>
      <c r="S23" s="3">
        <v>494709</v>
      </c>
      <c r="T23" s="3">
        <v>698579</v>
      </c>
      <c r="U23" s="3">
        <v>83508</v>
      </c>
      <c r="V23" s="3">
        <v>53888</v>
      </c>
      <c r="W23" s="3">
        <v>11476</v>
      </c>
      <c r="X23" s="3">
        <v>418483</v>
      </c>
      <c r="Y23" s="3">
        <v>343714</v>
      </c>
      <c r="Z23" s="3">
        <v>43507</v>
      </c>
      <c r="AA23" s="3">
        <v>2585735</v>
      </c>
      <c r="AB23" s="3">
        <v>52860</v>
      </c>
      <c r="AC23" s="3">
        <v>7695517</v>
      </c>
      <c r="AD23" s="4"/>
      <c r="AE23" s="4"/>
    </row>
    <row r="24" spans="1:31" x14ac:dyDescent="0.35">
      <c r="A24" s="17">
        <f>'Var. Anual'!A25</f>
        <v>45901</v>
      </c>
      <c r="B24" s="3">
        <v>16085</v>
      </c>
      <c r="C24" s="3">
        <v>70858</v>
      </c>
      <c r="D24" s="3">
        <v>127297</v>
      </c>
      <c r="E24" s="3">
        <v>17466</v>
      </c>
      <c r="F24" s="3">
        <v>347755</v>
      </c>
      <c r="G24" s="3">
        <v>186035</v>
      </c>
      <c r="H24" s="3">
        <v>179547</v>
      </c>
      <c r="I24" s="3">
        <v>130474</v>
      </c>
      <c r="J24" s="3">
        <v>253745</v>
      </c>
      <c r="K24" s="3">
        <v>124749</v>
      </c>
      <c r="L24" s="3">
        <v>741420</v>
      </c>
      <c r="M24" s="3">
        <v>111342</v>
      </c>
      <c r="N24" s="3">
        <v>152360</v>
      </c>
      <c r="O24" s="3">
        <v>188202</v>
      </c>
      <c r="P24" s="3">
        <v>91802</v>
      </c>
      <c r="Q24" s="3">
        <v>215494</v>
      </c>
      <c r="R24" s="3">
        <v>51596</v>
      </c>
      <c r="S24" s="3">
        <v>511454</v>
      </c>
      <c r="T24" s="3">
        <v>724783</v>
      </c>
      <c r="U24" s="3">
        <v>86182</v>
      </c>
      <c r="V24" s="3">
        <v>55159</v>
      </c>
      <c r="W24" s="3">
        <v>11943</v>
      </c>
      <c r="X24" s="3">
        <v>437254</v>
      </c>
      <c r="Y24" s="3">
        <v>355260</v>
      </c>
      <c r="Z24" s="3">
        <v>44023</v>
      </c>
      <c r="AA24" s="3">
        <v>2665854</v>
      </c>
      <c r="AB24" s="3">
        <v>59068</v>
      </c>
      <c r="AC24" s="3">
        <f>SUM(B24:AB24)</f>
        <v>7957207</v>
      </c>
      <c r="AD24" s="4"/>
      <c r="AE24" s="4"/>
    </row>
    <row r="25" spans="1:31" x14ac:dyDescent="0.35">
      <c r="A25" s="17">
        <f>'Var. Anual'!A26</f>
        <v>45931</v>
      </c>
      <c r="B25" s="3">
        <v>16534</v>
      </c>
      <c r="C25" s="3">
        <v>73578</v>
      </c>
      <c r="D25" s="3">
        <v>131828</v>
      </c>
      <c r="E25" s="3">
        <v>19057</v>
      </c>
      <c r="F25" s="3">
        <v>359007</v>
      </c>
      <c r="G25" s="3">
        <v>192630</v>
      </c>
      <c r="H25" s="3">
        <v>186968</v>
      </c>
      <c r="I25" s="3">
        <v>133489</v>
      </c>
      <c r="J25" s="3">
        <v>262510</v>
      </c>
      <c r="K25" s="3">
        <v>127471</v>
      </c>
      <c r="L25" s="3">
        <v>772867</v>
      </c>
      <c r="M25" s="3">
        <v>115216</v>
      </c>
      <c r="N25" s="3">
        <v>157632</v>
      </c>
      <c r="O25" s="3">
        <v>193803</v>
      </c>
      <c r="P25" s="3">
        <v>95754</v>
      </c>
      <c r="Q25" s="3">
        <v>223956</v>
      </c>
      <c r="R25" s="3">
        <v>53435</v>
      </c>
      <c r="S25" s="3">
        <v>527940</v>
      </c>
      <c r="T25" s="3">
        <v>756575</v>
      </c>
      <c r="U25" s="3">
        <v>89257</v>
      </c>
      <c r="V25" s="3">
        <v>56994</v>
      </c>
      <c r="W25" s="3">
        <v>12432</v>
      </c>
      <c r="X25" s="3">
        <v>455112</v>
      </c>
      <c r="Y25" s="3">
        <v>367665</v>
      </c>
      <c r="Z25" s="3">
        <v>45276</v>
      </c>
      <c r="AA25" s="3">
        <v>2735985</v>
      </c>
      <c r="AB25" s="3">
        <v>61682</v>
      </c>
      <c r="AC25" s="3">
        <f>SUM(B25:AB25)</f>
        <v>8224653</v>
      </c>
      <c r="AD25" s="1"/>
      <c r="AE25" s="4"/>
    </row>
    <row r="26" spans="1:31" x14ac:dyDescent="0.35">
      <c r="A26" s="17">
        <f>'Var. Anual'!A27</f>
        <v>45962</v>
      </c>
      <c r="B26" s="3">
        <v>17250</v>
      </c>
      <c r="C26" s="3">
        <v>75514</v>
      </c>
      <c r="D26" s="3">
        <v>134986</v>
      </c>
      <c r="E26" s="3">
        <v>20589</v>
      </c>
      <c r="F26" s="3">
        <v>366837</v>
      </c>
      <c r="G26" s="3">
        <v>197274</v>
      </c>
      <c r="H26" s="3">
        <v>192147</v>
      </c>
      <c r="I26" s="3">
        <v>134239</v>
      </c>
      <c r="J26" s="3">
        <v>268857</v>
      </c>
      <c r="K26" s="3">
        <v>129224</v>
      </c>
      <c r="L26" s="3">
        <v>795854</v>
      </c>
      <c r="M26" s="3">
        <v>119333</v>
      </c>
      <c r="N26" s="3">
        <v>160564</v>
      </c>
      <c r="O26" s="3">
        <v>199202</v>
      </c>
      <c r="P26" s="3">
        <v>98024</v>
      </c>
      <c r="Q26" s="3">
        <v>231509</v>
      </c>
      <c r="R26" s="3">
        <v>54750</v>
      </c>
      <c r="S26" s="3">
        <v>542463</v>
      </c>
      <c r="T26" s="3">
        <v>778160</v>
      </c>
      <c r="U26" s="3">
        <v>91067</v>
      </c>
      <c r="V26" s="3">
        <v>58147</v>
      </c>
      <c r="W26" s="3">
        <v>12862</v>
      </c>
      <c r="X26" s="3">
        <v>465583</v>
      </c>
      <c r="Y26" s="3">
        <v>374932</v>
      </c>
      <c r="Z26" s="3">
        <v>45258</v>
      </c>
      <c r="AA26" s="3">
        <v>2800543</v>
      </c>
      <c r="AB26" s="3">
        <v>63154</v>
      </c>
      <c r="AC26" s="3">
        <v>8428322</v>
      </c>
      <c r="AD26" s="1"/>
      <c r="AE26" s="4"/>
    </row>
    <row r="27" spans="1:31" x14ac:dyDescent="0.35">
      <c r="A27" s="19">
        <f>'Var. Anual'!A28</f>
        <v>45992</v>
      </c>
      <c r="B27" s="20">
        <v>17187</v>
      </c>
      <c r="C27" s="20">
        <v>76146</v>
      </c>
      <c r="D27" s="20">
        <v>135119</v>
      </c>
      <c r="E27" s="20">
        <v>21771</v>
      </c>
      <c r="F27" s="20">
        <v>369665</v>
      </c>
      <c r="G27" s="20">
        <v>200095</v>
      </c>
      <c r="H27" s="20">
        <v>194949</v>
      </c>
      <c r="I27" s="20">
        <v>134548</v>
      </c>
      <c r="J27" s="20">
        <v>272378</v>
      </c>
      <c r="K27" s="20">
        <v>130644</v>
      </c>
      <c r="L27" s="20">
        <v>806590</v>
      </c>
      <c r="M27" s="20">
        <v>121021</v>
      </c>
      <c r="N27" s="20">
        <v>162190</v>
      </c>
      <c r="O27" s="20">
        <v>200689</v>
      </c>
      <c r="P27" s="20">
        <v>98914</v>
      </c>
      <c r="Q27" s="20">
        <v>230582</v>
      </c>
      <c r="R27" s="20">
        <v>55127</v>
      </c>
      <c r="S27" s="20">
        <v>545551</v>
      </c>
      <c r="T27" s="20">
        <v>792599</v>
      </c>
      <c r="U27" s="20">
        <v>91999</v>
      </c>
      <c r="V27" s="20">
        <v>58466</v>
      </c>
      <c r="W27" s="20">
        <v>13043</v>
      </c>
      <c r="X27" s="20">
        <v>469945</v>
      </c>
      <c r="Y27" s="20">
        <v>380432</v>
      </c>
      <c r="Z27" s="20">
        <v>45476</v>
      </c>
      <c r="AA27" s="20">
        <v>2816413</v>
      </c>
      <c r="AB27" s="20">
        <v>63759</v>
      </c>
      <c r="AC27" s="20">
        <v>8505298</v>
      </c>
      <c r="AD27" s="1"/>
      <c r="AE27" s="4"/>
    </row>
    <row r="28" spans="1:31" x14ac:dyDescent="0.35">
      <c r="A28" s="16">
        <f>'Var. Anual'!A29</f>
        <v>46023</v>
      </c>
      <c r="B28" s="6">
        <v>13019</v>
      </c>
      <c r="C28" s="6">
        <v>61629</v>
      </c>
      <c r="D28" s="6">
        <v>136023</v>
      </c>
      <c r="E28" s="6">
        <v>14843</v>
      </c>
      <c r="F28" s="6">
        <v>308689</v>
      </c>
      <c r="G28" s="6">
        <v>173908</v>
      </c>
      <c r="H28" s="6">
        <v>205295</v>
      </c>
      <c r="I28" s="6">
        <v>126113</v>
      </c>
      <c r="J28" s="6">
        <v>226964</v>
      </c>
      <c r="K28" s="6">
        <v>101269</v>
      </c>
      <c r="L28" s="6">
        <v>815147</v>
      </c>
      <c r="M28" s="6">
        <v>122679</v>
      </c>
      <c r="N28" s="6">
        <v>164535</v>
      </c>
      <c r="O28" s="6">
        <v>168466</v>
      </c>
      <c r="P28" s="6">
        <v>85046</v>
      </c>
      <c r="Q28" s="6">
        <v>198592</v>
      </c>
      <c r="R28" s="6">
        <v>53178</v>
      </c>
      <c r="S28" s="6">
        <v>552314</v>
      </c>
      <c r="T28" s="6">
        <v>799699</v>
      </c>
      <c r="U28" s="6">
        <v>85072</v>
      </c>
      <c r="V28" s="6">
        <v>61940</v>
      </c>
      <c r="W28" s="6">
        <v>10013</v>
      </c>
      <c r="X28" s="6">
        <v>474966</v>
      </c>
      <c r="Y28" s="6">
        <v>387126</v>
      </c>
      <c r="Z28" s="6">
        <v>38168</v>
      </c>
      <c r="AA28" s="6">
        <v>2844014</v>
      </c>
      <c r="AB28" s="6">
        <v>64737</v>
      </c>
      <c r="AC28" s="6">
        <v>8293444</v>
      </c>
      <c r="AD28" s="4"/>
      <c r="AE28" s="4"/>
    </row>
    <row r="29" spans="1:31" x14ac:dyDescent="0.35">
      <c r="A29" s="17">
        <f>'Var. Anual'!A30</f>
        <v>46054</v>
      </c>
      <c r="B29" s="3">
        <v>13087</v>
      </c>
      <c r="C29" s="3">
        <v>62067</v>
      </c>
      <c r="D29" s="3">
        <v>138544</v>
      </c>
      <c r="E29" s="3">
        <v>14881</v>
      </c>
      <c r="F29" s="3">
        <v>310907</v>
      </c>
      <c r="G29" s="3">
        <v>174501</v>
      </c>
      <c r="H29" s="3">
        <v>206753</v>
      </c>
      <c r="I29" s="3">
        <v>126517</v>
      </c>
      <c r="J29" s="3">
        <v>228983</v>
      </c>
      <c r="K29" s="3">
        <v>101531</v>
      </c>
      <c r="L29" s="3">
        <v>825520</v>
      </c>
      <c r="M29" s="3">
        <v>124565</v>
      </c>
      <c r="N29" s="3">
        <v>170321</v>
      </c>
      <c r="O29" s="3">
        <v>169397</v>
      </c>
      <c r="P29" s="3">
        <v>85491</v>
      </c>
      <c r="Q29" s="3">
        <v>200615</v>
      </c>
      <c r="R29" s="3">
        <v>53722</v>
      </c>
      <c r="S29" s="3">
        <v>560238</v>
      </c>
      <c r="T29" s="3">
        <v>810051</v>
      </c>
      <c r="U29" s="3">
        <v>86202</v>
      </c>
      <c r="V29" s="3">
        <v>62364</v>
      </c>
      <c r="W29" s="3">
        <v>10075</v>
      </c>
      <c r="X29" s="3">
        <v>481644</v>
      </c>
      <c r="Y29" s="3">
        <v>393314</v>
      </c>
      <c r="Z29" s="3">
        <v>38340</v>
      </c>
      <c r="AA29" s="3">
        <v>2872405</v>
      </c>
      <c r="AB29" s="3">
        <v>65295</v>
      </c>
      <c r="AC29" s="3">
        <v>8387330</v>
      </c>
      <c r="AD29" s="4"/>
      <c r="AE29" s="4"/>
    </row>
    <row r="30" spans="1:31" x14ac:dyDescent="0.35">
      <c r="A30" s="17">
        <f>'Var. Anual'!A31</f>
        <v>46082</v>
      </c>
      <c r="B30" s="3">
        <v>13188</v>
      </c>
      <c r="C30" s="3">
        <v>60445</v>
      </c>
      <c r="D30" s="3">
        <v>139696</v>
      </c>
      <c r="E30" s="3">
        <v>14924</v>
      </c>
      <c r="F30" s="3">
        <v>311420</v>
      </c>
      <c r="G30" s="3">
        <v>177078</v>
      </c>
      <c r="H30" s="3">
        <v>208096</v>
      </c>
      <c r="I30" s="3">
        <v>127123</v>
      </c>
      <c r="J30" s="3">
        <v>231324</v>
      </c>
      <c r="K30" s="3">
        <v>102303</v>
      </c>
      <c r="L30" s="3">
        <v>833071</v>
      </c>
      <c r="M30" s="3">
        <v>126006</v>
      </c>
      <c r="N30" s="3">
        <v>171312</v>
      </c>
      <c r="O30" s="3">
        <v>171521</v>
      </c>
      <c r="P30" s="3">
        <v>86419</v>
      </c>
      <c r="Q30" s="3">
        <v>200527</v>
      </c>
      <c r="R30" s="3">
        <v>54342</v>
      </c>
      <c r="S30" s="3">
        <v>564569</v>
      </c>
      <c r="T30" s="3">
        <v>814112</v>
      </c>
      <c r="U30" s="3">
        <v>86591</v>
      </c>
      <c r="V30" s="3">
        <v>63036</v>
      </c>
      <c r="W30" s="3">
        <v>10149</v>
      </c>
      <c r="X30" s="3">
        <v>487483</v>
      </c>
      <c r="Y30" s="3">
        <v>398681</v>
      </c>
      <c r="Z30" s="3">
        <v>38372</v>
      </c>
      <c r="AA30" s="3">
        <v>2884162</v>
      </c>
      <c r="AB30" s="3">
        <v>66708</v>
      </c>
      <c r="AC30" s="3">
        <v>8442658</v>
      </c>
      <c r="AD30" s="4"/>
      <c r="AE30" s="4"/>
    </row>
    <row r="31" spans="1:31" x14ac:dyDescent="0.35">
      <c r="A31" s="17">
        <f>'Var. Anual'!A32</f>
        <v>46113</v>
      </c>
      <c r="B31" s="3">
        <v>13270</v>
      </c>
      <c r="C31" s="3">
        <v>61246</v>
      </c>
      <c r="D31" s="3">
        <v>140716</v>
      </c>
      <c r="E31" s="3">
        <v>15003</v>
      </c>
      <c r="F31" s="3">
        <v>312962</v>
      </c>
      <c r="G31" s="3">
        <v>179451</v>
      </c>
      <c r="H31" s="3">
        <v>209519</v>
      </c>
      <c r="I31" s="3">
        <v>128358</v>
      </c>
      <c r="J31" s="3">
        <v>233913</v>
      </c>
      <c r="K31" s="3">
        <v>104038</v>
      </c>
      <c r="L31" s="3">
        <v>841082</v>
      </c>
      <c r="M31" s="3">
        <v>127362</v>
      </c>
      <c r="N31" s="3">
        <v>174297</v>
      </c>
      <c r="O31" s="3">
        <v>173656</v>
      </c>
      <c r="P31" s="3">
        <v>86639</v>
      </c>
      <c r="Q31" s="3">
        <v>201600</v>
      </c>
      <c r="R31" s="3">
        <v>54966</v>
      </c>
      <c r="S31" s="3">
        <v>570767</v>
      </c>
      <c r="T31" s="3">
        <v>818385</v>
      </c>
      <c r="U31" s="3">
        <v>87462</v>
      </c>
      <c r="V31" s="3">
        <v>63195</v>
      </c>
      <c r="W31" s="3">
        <v>10285</v>
      </c>
      <c r="X31" s="3">
        <v>494923</v>
      </c>
      <c r="Y31" s="3">
        <v>404894</v>
      </c>
      <c r="Z31" s="3">
        <v>38742</v>
      </c>
      <c r="AA31" s="3">
        <v>2908887</v>
      </c>
      <c r="AB31" s="3">
        <v>67691</v>
      </c>
      <c r="AC31" s="3">
        <v>8523309</v>
      </c>
      <c r="AD31" s="4"/>
      <c r="AE31" s="4"/>
    </row>
    <row r="32" spans="1:31" x14ac:dyDescent="0.35">
      <c r="A32" s="17">
        <f>'Var. Anual'!A33</f>
        <v>46143</v>
      </c>
      <c r="B32" s="3">
        <v>13337</v>
      </c>
      <c r="C32" s="3">
        <v>57009</v>
      </c>
      <c r="D32" s="3">
        <v>141579</v>
      </c>
      <c r="E32" s="3">
        <v>15089</v>
      </c>
      <c r="F32" s="3">
        <v>314249</v>
      </c>
      <c r="G32" s="3">
        <v>180537</v>
      </c>
      <c r="H32" s="3">
        <v>211450</v>
      </c>
      <c r="I32" s="3">
        <v>128285</v>
      </c>
      <c r="J32" s="3">
        <v>236784</v>
      </c>
      <c r="K32" s="3">
        <v>104476</v>
      </c>
      <c r="L32" s="3">
        <v>846285</v>
      </c>
      <c r="M32" s="3">
        <v>128794</v>
      </c>
      <c r="N32" s="3">
        <v>176025</v>
      </c>
      <c r="O32" s="3">
        <v>174810</v>
      </c>
      <c r="P32" s="3">
        <v>86674</v>
      </c>
      <c r="Q32" s="3">
        <v>203496</v>
      </c>
      <c r="R32" s="3">
        <v>55041</v>
      </c>
      <c r="S32" s="3">
        <v>574913</v>
      </c>
      <c r="T32" s="3">
        <v>822221</v>
      </c>
      <c r="U32" s="3">
        <v>87957</v>
      </c>
      <c r="V32" s="3">
        <v>63958</v>
      </c>
      <c r="W32" s="3">
        <v>10369</v>
      </c>
      <c r="X32" s="3">
        <v>499214</v>
      </c>
      <c r="Y32" s="3">
        <v>411106</v>
      </c>
      <c r="Z32" s="3">
        <v>38825</v>
      </c>
      <c r="AA32" s="3">
        <v>2927085</v>
      </c>
      <c r="AB32" s="3">
        <v>69389</v>
      </c>
      <c r="AC32" s="3">
        <v>8578957</v>
      </c>
      <c r="AD32" s="4"/>
      <c r="AE32" s="4"/>
    </row>
    <row r="33" spans="1:31" x14ac:dyDescent="0.35">
      <c r="A33" s="17">
        <f>'Var. Anual'!A34</f>
        <v>46174</v>
      </c>
      <c r="B33" s="3">
        <v>13383</v>
      </c>
      <c r="C33" s="3">
        <v>57399</v>
      </c>
      <c r="D33" s="3">
        <v>142522</v>
      </c>
      <c r="E33" s="3">
        <v>15122</v>
      </c>
      <c r="F33" s="3">
        <v>318291</v>
      </c>
      <c r="G33" s="3">
        <v>181845</v>
      </c>
      <c r="H33" s="3">
        <v>213319</v>
      </c>
      <c r="I33" s="3">
        <v>130422</v>
      </c>
      <c r="J33" s="3">
        <v>239379</v>
      </c>
      <c r="K33" s="3">
        <v>113491</v>
      </c>
      <c r="L33" s="3">
        <v>865586</v>
      </c>
      <c r="M33" s="3">
        <v>130561</v>
      </c>
      <c r="N33" s="3">
        <v>178295</v>
      </c>
      <c r="O33" s="3">
        <v>176478</v>
      </c>
      <c r="P33" s="3">
        <v>87324</v>
      </c>
      <c r="Q33" s="3">
        <v>205445</v>
      </c>
      <c r="R33" s="3">
        <v>55413</v>
      </c>
      <c r="S33" s="3">
        <v>582819</v>
      </c>
      <c r="T33" s="3">
        <v>827245</v>
      </c>
      <c r="U33" s="3">
        <v>88194</v>
      </c>
      <c r="V33" s="3">
        <v>64134</v>
      </c>
      <c r="W33" s="3">
        <v>10449</v>
      </c>
      <c r="X33" s="3">
        <v>504129</v>
      </c>
      <c r="Y33" s="3">
        <v>417698</v>
      </c>
      <c r="Z33" s="3">
        <v>39244</v>
      </c>
      <c r="AA33" s="3">
        <v>2956977</v>
      </c>
      <c r="AB33" s="3">
        <v>70648</v>
      </c>
      <c r="AC33" s="3">
        <v>8685812</v>
      </c>
      <c r="AD33" s="4"/>
      <c r="AE33" s="4"/>
    </row>
    <row r="34" spans="1:31" x14ac:dyDescent="0.35">
      <c r="A34" s="17">
        <f>'Var. Anual'!A35</f>
        <v>46204</v>
      </c>
      <c r="B34" s="3">
        <v>13362</v>
      </c>
      <c r="C34" s="3">
        <v>57480</v>
      </c>
      <c r="D34" s="3">
        <v>143397</v>
      </c>
      <c r="E34" s="3">
        <v>15118</v>
      </c>
      <c r="F34" s="3">
        <v>319349</v>
      </c>
      <c r="G34" s="3">
        <v>182324</v>
      </c>
      <c r="H34" s="3">
        <v>214395</v>
      </c>
      <c r="I34" s="3">
        <v>131099</v>
      </c>
      <c r="J34" s="3">
        <v>241257</v>
      </c>
      <c r="K34" s="3">
        <v>113448</v>
      </c>
      <c r="L34" s="3">
        <v>872754</v>
      </c>
      <c r="M34" s="3">
        <v>131420</v>
      </c>
      <c r="N34" s="3">
        <v>179431</v>
      </c>
      <c r="O34" s="3">
        <v>176784</v>
      </c>
      <c r="P34" s="3">
        <v>87429</v>
      </c>
      <c r="Q34" s="3">
        <v>206205</v>
      </c>
      <c r="R34" s="3">
        <v>55401</v>
      </c>
      <c r="S34" s="3">
        <v>588156</v>
      </c>
      <c r="T34" s="3">
        <v>823089</v>
      </c>
      <c r="U34" s="3">
        <v>88386</v>
      </c>
      <c r="V34" s="3">
        <v>64671</v>
      </c>
      <c r="W34" s="3">
        <v>10480</v>
      </c>
      <c r="X34" s="3">
        <v>509489</v>
      </c>
      <c r="Y34" s="3">
        <v>424295</v>
      </c>
      <c r="Z34" s="3">
        <v>39654</v>
      </c>
      <c r="AA34" s="3">
        <v>2976383</v>
      </c>
      <c r="AB34" s="3">
        <v>71548</v>
      </c>
      <c r="AC34" s="3">
        <v>8736804</v>
      </c>
      <c r="AD34" s="4"/>
      <c r="AE34" s="4"/>
    </row>
    <row r="35" spans="1:31" x14ac:dyDescent="0.35">
      <c r="A35" s="17">
        <f>'Var. Anual'!A36</f>
        <v>46235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4"/>
      <c r="AE35" s="4"/>
    </row>
    <row r="36" spans="1:31" x14ac:dyDescent="0.35">
      <c r="A36" s="17">
        <f>'Var. Anual'!A37</f>
        <v>46266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4"/>
      <c r="AE36" s="4"/>
    </row>
    <row r="37" spans="1:31" x14ac:dyDescent="0.35">
      <c r="A37" s="17">
        <f>'Var. Anual'!A38</f>
        <v>46296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1"/>
      <c r="AE37" s="4"/>
    </row>
    <row r="38" spans="1:31" x14ac:dyDescent="0.35">
      <c r="A38" s="17">
        <f>'Var. Anual'!A39</f>
        <v>46327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1"/>
      <c r="AE38" s="4"/>
    </row>
    <row r="39" spans="1:31" x14ac:dyDescent="0.35">
      <c r="A39" s="19">
        <f>'Var. Anual'!A40</f>
        <v>46357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1"/>
      <c r="AE39" s="4"/>
    </row>
  </sheetData>
  <mergeCells count="1">
    <mergeCell ref="A2:A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39"/>
  <sheetViews>
    <sheetView showGridLines="0" workbookViewId="0">
      <pane xSplit="1" ySplit="3" topLeftCell="M23" activePane="bottomRight" state="frozen"/>
      <selection pane="topRight"/>
      <selection pane="bottomLeft"/>
      <selection pane="bottomRight" activeCell="A2" sqref="A2:AC2"/>
    </sheetView>
  </sheetViews>
  <sheetFormatPr defaultRowHeight="14.5" x14ac:dyDescent="0.35"/>
  <cols>
    <col min="1" max="1" width="16.26953125" customWidth="1"/>
    <col min="29" max="29" width="10.54296875" customWidth="1"/>
  </cols>
  <sheetData>
    <row r="1" spans="1:29" ht="45.5" customHeight="1" x14ac:dyDescent="0.35"/>
    <row r="2" spans="1:29" x14ac:dyDescent="0.35">
      <c r="A2" s="38" t="s">
        <v>49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x14ac:dyDescent="0.35">
      <c r="A3" s="18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 t="s">
        <v>23</v>
      </c>
      <c r="L3" s="18" t="s">
        <v>24</v>
      </c>
      <c r="M3" s="18" t="s">
        <v>25</v>
      </c>
      <c r="N3" s="18" t="s">
        <v>26</v>
      </c>
      <c r="O3" s="18" t="s">
        <v>27</v>
      </c>
      <c r="P3" s="18" t="s">
        <v>28</v>
      </c>
      <c r="Q3" s="18" t="s">
        <v>29</v>
      </c>
      <c r="R3" s="18" t="s">
        <v>30</v>
      </c>
      <c r="S3" s="18" t="s">
        <v>31</v>
      </c>
      <c r="T3" s="18" t="s">
        <v>32</v>
      </c>
      <c r="U3" s="18" t="s">
        <v>33</v>
      </c>
      <c r="V3" s="18" t="s">
        <v>34</v>
      </c>
      <c r="W3" s="18" t="s">
        <v>35</v>
      </c>
      <c r="X3" s="18" t="s">
        <v>36</v>
      </c>
      <c r="Y3" s="18" t="s">
        <v>37</v>
      </c>
      <c r="Z3" s="18" t="s">
        <v>38</v>
      </c>
      <c r="AA3" s="18" t="s">
        <v>39</v>
      </c>
      <c r="AB3" s="18" t="s">
        <v>40</v>
      </c>
      <c r="AC3" s="18" t="s">
        <v>41</v>
      </c>
    </row>
    <row r="4" spans="1:29" x14ac:dyDescent="0.35">
      <c r="A4" s="16">
        <f>'UF Geral'!A4</f>
        <v>45292</v>
      </c>
      <c r="B4" s="14">
        <f>'UF Geral'!B4/'UF Geral'!$AC4</f>
        <v>2.2196490234657699E-3</v>
      </c>
      <c r="C4" s="14">
        <f>'UF Geral'!C4/'UF Geral'!$AC4</f>
        <v>1.2953652201436926E-2</v>
      </c>
      <c r="D4" s="14">
        <f>'UF Geral'!D4/'UF Geral'!$AC4</f>
        <v>1.1196542723670795E-2</v>
      </c>
      <c r="E4" s="14">
        <f>'UF Geral'!E4/'UF Geral'!$AC4</f>
        <v>2.3376697741222803E-3</v>
      </c>
      <c r="F4" s="14">
        <f>'UF Geral'!F4/'UF Geral'!$AC4</f>
        <v>4.7497148892243241E-2</v>
      </c>
      <c r="G4" s="14">
        <f>'UF Geral'!G4/'UF Geral'!$AC4</f>
        <v>2.3922742535028463E-2</v>
      </c>
      <c r="H4" s="14">
        <f>'UF Geral'!H4/'UF Geral'!$AC4</f>
        <v>1.9334566560045046E-2</v>
      </c>
      <c r="I4" s="14">
        <f>'UF Geral'!I4/'UF Geral'!$AC4</f>
        <v>1.8399784954103927E-2</v>
      </c>
      <c r="J4" s="14">
        <f>'UF Geral'!J4/'UF Geral'!$AC4</f>
        <v>3.4251625966473839E-2</v>
      </c>
      <c r="K4" s="14">
        <f>'UF Geral'!K4/'UF Geral'!$AC4</f>
        <v>1.7642670704609332E-2</v>
      </c>
      <c r="L4" s="14">
        <f>'UF Geral'!L4/'UF Geral'!$AC4</f>
        <v>9.1437451388016275E-2</v>
      </c>
      <c r="M4" s="14">
        <f>'UF Geral'!M4/'UF Geral'!$AC4</f>
        <v>1.2492862289507129E-2</v>
      </c>
      <c r="N4" s="14">
        <f>'UF Geral'!N4/'UF Geral'!$AC4</f>
        <v>2.1300041514037631E-2</v>
      </c>
      <c r="O4" s="14">
        <f>'UF Geral'!O4/'UF Geral'!$AC4</f>
        <v>2.2805680901793055E-2</v>
      </c>
      <c r="P4" s="14">
        <f>'UF Geral'!P4/'UF Geral'!$AC4</f>
        <v>9.9124705942233455E-3</v>
      </c>
      <c r="Q4" s="14">
        <f>'UF Geral'!Q4/'UF Geral'!$AC4</f>
        <v>3.0243692172615688E-2</v>
      </c>
      <c r="R4" s="14">
        <f>'UF Geral'!R4/'UF Geral'!$AC4</f>
        <v>6.6155243413821788E-3</v>
      </c>
      <c r="S4" s="14">
        <f>'UF Geral'!S4/'UF Geral'!$AC4</f>
        <v>6.4817091695124729E-2</v>
      </c>
      <c r="T4" s="14">
        <f>'UF Geral'!T4/'UF Geral'!$AC4</f>
        <v>8.9682250601635427E-2</v>
      </c>
      <c r="U4" s="14">
        <f>'UF Geral'!U4/'UF Geral'!$AC4</f>
        <v>1.0817985598923498E-2</v>
      </c>
      <c r="V4" s="14">
        <f>'UF Geral'!V4/'UF Geral'!$AC4</f>
        <v>8.0957145106671981E-3</v>
      </c>
      <c r="W4" s="14">
        <f>'UF Geral'!W4/'UF Geral'!$AC4</f>
        <v>1.4526732018138931E-3</v>
      </c>
      <c r="X4" s="14">
        <f>'UF Geral'!X4/'UF Geral'!$AC4</f>
        <v>5.5623402465074925E-2</v>
      </c>
      <c r="Y4" s="14">
        <f>'UF Geral'!Y4/'UF Geral'!$AC4</f>
        <v>4.4514977660357911E-2</v>
      </c>
      <c r="Z4" s="14">
        <f>'UF Geral'!Z4/'UF Geral'!$AC4</f>
        <v>6.8996012425580917E-3</v>
      </c>
      <c r="AA4" s="14">
        <f>'UF Geral'!AA4/'UF Geral'!$AC4</f>
        <v>0.3272549995784973</v>
      </c>
      <c r="AB4" s="14">
        <f>'UF Geral'!AB4/'UF Geral'!$AC4</f>
        <v>6.277526908572092E-3</v>
      </c>
      <c r="AC4" s="14">
        <f>'UF Geral'!AC4/'UF Geral'!$AC4</f>
        <v>1</v>
      </c>
    </row>
    <row r="5" spans="1:29" x14ac:dyDescent="0.35">
      <c r="A5" s="17">
        <f>'UF Geral'!A5</f>
        <v>45323</v>
      </c>
      <c r="B5" s="12">
        <f>'UF Geral'!B5/'UF Geral'!$AC5</f>
        <v>2.2259004300632895E-3</v>
      </c>
      <c r="C5" s="12">
        <f>'UF Geral'!C5/'UF Geral'!$AC5</f>
        <v>1.3399572966448047E-2</v>
      </c>
      <c r="D5" s="12">
        <f>'UF Geral'!D5/'UF Geral'!$AC5</f>
        <v>1.088839881553203E-2</v>
      </c>
      <c r="E5" s="12">
        <f>'UF Geral'!E5/'UF Geral'!$AC5</f>
        <v>2.3498007548830601E-3</v>
      </c>
      <c r="F5" s="12">
        <f>'UF Geral'!F5/'UF Geral'!$AC5</f>
        <v>4.8078269286273533E-2</v>
      </c>
      <c r="G5" s="12">
        <f>'UF Geral'!G5/'UF Geral'!$AC5</f>
        <v>2.3855516594192154E-2</v>
      </c>
      <c r="H5" s="12">
        <f>'UF Geral'!H5/'UF Geral'!$AC5</f>
        <v>1.9476588898084408E-2</v>
      </c>
      <c r="I5" s="12">
        <f>'UF Geral'!I5/'UF Geral'!$AC5</f>
        <v>1.8691089541505015E-2</v>
      </c>
      <c r="J5" s="12">
        <f>'UF Geral'!J5/'UF Geral'!$AC5</f>
        <v>3.427781418778314E-2</v>
      </c>
      <c r="K5" s="12">
        <f>'UF Geral'!K5/'UF Geral'!$AC5</f>
        <v>1.7699408563314343E-2</v>
      </c>
      <c r="L5" s="12">
        <f>'UF Geral'!L5/'UF Geral'!$AC5</f>
        <v>9.3163636131694719E-2</v>
      </c>
      <c r="M5" s="12">
        <f>'UF Geral'!M5/'UF Geral'!$AC5</f>
        <v>1.2544549103277378E-2</v>
      </c>
      <c r="N5" s="12">
        <f>'UF Geral'!N5/'UF Geral'!$AC5</f>
        <v>2.1490567150946313E-2</v>
      </c>
      <c r="O5" s="12">
        <f>'UF Geral'!O5/'UF Geral'!$AC5</f>
        <v>2.297577645000853E-2</v>
      </c>
      <c r="P5" s="12">
        <f>'UF Geral'!P5/'UF Geral'!$AC5</f>
        <v>1.0010093810245936E-2</v>
      </c>
      <c r="Q5" s="12">
        <f>'UF Geral'!Q5/'UF Geral'!$AC5</f>
        <v>3.0413782436132332E-2</v>
      </c>
      <c r="R5" s="12">
        <f>'UF Geral'!R5/'UF Geral'!$AC5</f>
        <v>6.6443741757917585E-3</v>
      </c>
      <c r="S5" s="12">
        <f>'UF Geral'!S5/'UF Geral'!$AC5</f>
        <v>6.4886137674469033E-2</v>
      </c>
      <c r="T5" s="12">
        <f>'UF Geral'!T5/'UF Geral'!$AC5</f>
        <v>8.9114630922140531E-2</v>
      </c>
      <c r="U5" s="12">
        <f>'UF Geral'!U5/'UF Geral'!$AC5</f>
        <v>1.0963026038203398E-2</v>
      </c>
      <c r="V5" s="12">
        <f>'UF Geral'!V5/'UF Geral'!$AC5</f>
        <v>8.1177834439187576E-3</v>
      </c>
      <c r="W5" s="12">
        <f>'UF Geral'!W5/'UF Geral'!$AC5</f>
        <v>1.4620876168242928E-3</v>
      </c>
      <c r="X5" s="12">
        <f>'UF Geral'!X5/'UF Geral'!$AC5</f>
        <v>5.5863578885598703E-2</v>
      </c>
      <c r="Y5" s="12">
        <f>'UF Geral'!Y5/'UF Geral'!$AC5</f>
        <v>4.4643025145228082E-2</v>
      </c>
      <c r="Z5" s="12">
        <f>'UF Geral'!Z5/'UF Geral'!$AC5</f>
        <v>6.9395344090496672E-3</v>
      </c>
      <c r="AA5" s="12">
        <f>'UF Geral'!AA5/'UF Geral'!$AC5</f>
        <v>0.32351331569707087</v>
      </c>
      <c r="AB5" s="12">
        <f>'UF Geral'!AB5/'UF Geral'!$AC5</f>
        <v>6.3117408713206629E-3</v>
      </c>
      <c r="AC5" s="12">
        <f>'UF Geral'!AC5/'UF Geral'!$AC5</f>
        <v>1</v>
      </c>
    </row>
    <row r="6" spans="1:29" x14ac:dyDescent="0.35">
      <c r="A6" s="17">
        <f>'UF Geral'!A6</f>
        <v>45352</v>
      </c>
      <c r="B6" s="12">
        <f>'UF Geral'!B6/'UF Geral'!$AC6</f>
        <v>2.2271077870907202E-3</v>
      </c>
      <c r="C6" s="12">
        <f>'UF Geral'!C6/'UF Geral'!$AC6</f>
        <v>1.362405181064737E-2</v>
      </c>
      <c r="D6" s="12">
        <f>'UF Geral'!D6/'UF Geral'!$AC6</f>
        <v>1.0916403606277854E-2</v>
      </c>
      <c r="E6" s="12">
        <f>'UF Geral'!E6/'UF Geral'!$AC6</f>
        <v>2.3443825317837601E-3</v>
      </c>
      <c r="F6" s="12">
        <f>'UF Geral'!F6/'UF Geral'!$AC6</f>
        <v>4.8368840195680378E-2</v>
      </c>
      <c r="G6" s="12">
        <f>'UF Geral'!G6/'UF Geral'!$AC6</f>
        <v>2.4137144709566235E-2</v>
      </c>
      <c r="H6" s="12">
        <f>'UF Geral'!H6/'UF Geral'!$AC6</f>
        <v>2.0051756618355721E-2</v>
      </c>
      <c r="I6" s="12">
        <f>'UF Geral'!I6/'UF Geral'!$AC6</f>
        <v>1.881433326208919E-2</v>
      </c>
      <c r="J6" s="12">
        <f>'UF Geral'!J6/'UF Geral'!$AC6</f>
        <v>3.2396274222677407E-2</v>
      </c>
      <c r="K6" s="12">
        <f>'UF Geral'!K6/'UF Geral'!$AC6</f>
        <v>1.7728191148299318E-2</v>
      </c>
      <c r="L6" s="12">
        <f>'UF Geral'!L6/'UF Geral'!$AC6</f>
        <v>9.4193708321183428E-2</v>
      </c>
      <c r="M6" s="12">
        <f>'UF Geral'!M6/'UF Geral'!$AC6</f>
        <v>1.262181357923951E-2</v>
      </c>
      <c r="N6" s="12">
        <f>'UF Geral'!N6/'UF Geral'!$AC6</f>
        <v>2.1456987739386278E-2</v>
      </c>
      <c r="O6" s="12">
        <f>'UF Geral'!O6/'UF Geral'!$AC6</f>
        <v>2.3098993073956981E-2</v>
      </c>
      <c r="P6" s="12">
        <f>'UF Geral'!P6/'UF Geral'!$AC6</f>
        <v>1.0048920095059284E-2</v>
      </c>
      <c r="Q6" s="12">
        <f>'UF Geral'!Q6/'UF Geral'!$AC6</f>
        <v>3.0301219705017469E-2</v>
      </c>
      <c r="R6" s="12">
        <f>'UF Geral'!R6/'UF Geral'!$AC6</f>
        <v>6.696737521482493E-3</v>
      </c>
      <c r="S6" s="12">
        <f>'UF Geral'!S6/'UF Geral'!$AC6</f>
        <v>6.5144372679433932E-2</v>
      </c>
      <c r="T6" s="12">
        <f>'UF Geral'!T6/'UF Geral'!$AC6</f>
        <v>8.8885675398444122E-2</v>
      </c>
      <c r="U6" s="12">
        <f>'UF Geral'!U6/'UF Geral'!$AC6</f>
        <v>1.0964552993326621E-2</v>
      </c>
      <c r="V6" s="12">
        <f>'UF Geral'!V6/'UF Geral'!$AC6</f>
        <v>8.13502168708778E-3</v>
      </c>
      <c r="W6" s="12">
        <f>'UF Geral'!W6/'UF Geral'!$AC6</f>
        <v>1.4680001239489172E-3</v>
      </c>
      <c r="X6" s="12">
        <f>'UF Geral'!X6/'UF Geral'!$AC6</f>
        <v>5.6219732826519986E-2</v>
      </c>
      <c r="Y6" s="12">
        <f>'UF Geral'!Y6/'UF Geral'!$AC6</f>
        <v>4.507020991066938E-2</v>
      </c>
      <c r="Z6" s="12">
        <f>'UF Geral'!Z6/'UF Geral'!$AC6</f>
        <v>7.0021603660624689E-3</v>
      </c>
      <c r="AA6" s="12">
        <f>'UF Geral'!AA6/'UF Geral'!$AC6</f>
        <v>0.32175231987083885</v>
      </c>
      <c r="AB6" s="12">
        <f>'UF Geral'!AB6/'UF Geral'!$AC6</f>
        <v>6.3310882158745191E-3</v>
      </c>
      <c r="AC6" s="12">
        <f>'UF Geral'!AC6/'UF Geral'!$AC6</f>
        <v>1</v>
      </c>
    </row>
    <row r="7" spans="1:29" x14ac:dyDescent="0.35">
      <c r="A7" s="17">
        <f>'UF Geral'!A7</f>
        <v>45383</v>
      </c>
      <c r="B7" s="12">
        <f>'UF Geral'!B7/'UF Geral'!$AC7</f>
        <v>2.2222732487055612E-3</v>
      </c>
      <c r="C7" s="12">
        <f>'UF Geral'!C7/'UF Geral'!$AC7</f>
        <v>1.2886196647748772E-2</v>
      </c>
      <c r="D7" s="12">
        <f>'UF Geral'!D7/'UF Geral'!$AC7</f>
        <v>1.1360172774274599E-2</v>
      </c>
      <c r="E7" s="12">
        <f>'UF Geral'!E7/'UF Geral'!$AC7</f>
        <v>2.3425874054826138E-3</v>
      </c>
      <c r="F7" s="12">
        <f>'UF Geral'!F7/'UF Geral'!$AC7</f>
        <v>4.8182438410947236E-2</v>
      </c>
      <c r="G7" s="12">
        <f>'UF Geral'!G7/'UF Geral'!$AC7</f>
        <v>2.4004797468023958E-2</v>
      </c>
      <c r="H7" s="12">
        <f>'UF Geral'!H7/'UF Geral'!$AC7</f>
        <v>2.0281664091052497E-2</v>
      </c>
      <c r="I7" s="12">
        <f>'UF Geral'!I7/'UF Geral'!$AC7</f>
        <v>1.9157945594095577E-2</v>
      </c>
      <c r="J7" s="12">
        <f>'UF Geral'!J7/'UF Geral'!$AC7</f>
        <v>3.227690688502087E-2</v>
      </c>
      <c r="K7" s="12">
        <f>'UF Geral'!K7/'UF Geral'!$AC7</f>
        <v>1.7576404207755653E-2</v>
      </c>
      <c r="L7" s="12">
        <f>'UF Geral'!L7/'UF Geral'!$AC7</f>
        <v>9.3963469161987515E-2</v>
      </c>
      <c r="M7" s="12">
        <f>'UF Geral'!M7/'UF Geral'!$AC7</f>
        <v>1.2627953712548877E-2</v>
      </c>
      <c r="N7" s="12">
        <f>'UF Geral'!N7/'UF Geral'!$AC7</f>
        <v>2.403357850160592E-2</v>
      </c>
      <c r="O7" s="12">
        <f>'UF Geral'!O7/'UF Geral'!$AC7</f>
        <v>2.3093240797854287E-2</v>
      </c>
      <c r="P7" s="12">
        <f>'UF Geral'!P7/'UF Geral'!$AC7</f>
        <v>1.0061408974712638E-2</v>
      </c>
      <c r="Q7" s="12">
        <f>'UF Geral'!Q7/'UF Geral'!$AC7</f>
        <v>3.0189731493402223E-2</v>
      </c>
      <c r="R7" s="12">
        <f>'UF Geral'!R7/'UF Geral'!$AC7</f>
        <v>6.6515642255841681E-3</v>
      </c>
      <c r="S7" s="12">
        <f>'UF Geral'!S7/'UF Geral'!$AC7</f>
        <v>6.5002986622009401E-2</v>
      </c>
      <c r="T7" s="12">
        <f>'UF Geral'!T7/'UF Geral'!$AC7</f>
        <v>8.9327049107363318E-2</v>
      </c>
      <c r="U7" s="12">
        <f>'UF Geral'!U7/'UF Geral'!$AC7</f>
        <v>1.0903136251929351E-2</v>
      </c>
      <c r="V7" s="12">
        <f>'UF Geral'!V7/'UF Geral'!$AC7</f>
        <v>8.1676798743825843E-3</v>
      </c>
      <c r="W7" s="12">
        <f>'UF Geral'!W7/'UF Geral'!$AC7</f>
        <v>1.4544644730381479E-3</v>
      </c>
      <c r="X7" s="12">
        <f>'UF Geral'!X7/'UF Geral'!$AC7</f>
        <v>5.5614707831618058E-2</v>
      </c>
      <c r="Y7" s="12">
        <f>'UF Geral'!Y7/'UF Geral'!$AC7</f>
        <v>4.4927979788479851E-2</v>
      </c>
      <c r="Z7" s="12">
        <f>'UF Geral'!Z7/'UF Geral'!$AC7</f>
        <v>6.9198726588673735E-3</v>
      </c>
      <c r="AA7" s="12">
        <f>'UF Geral'!AA7/'UF Geral'!$AC7</f>
        <v>0.32041405684552954</v>
      </c>
      <c r="AB7" s="12">
        <f>'UF Geral'!AB7/'UF Geral'!$AC7</f>
        <v>6.3557329459794157E-3</v>
      </c>
      <c r="AC7" s="12">
        <f>'UF Geral'!AC7/'UF Geral'!$AC7</f>
        <v>1</v>
      </c>
    </row>
    <row r="8" spans="1:29" x14ac:dyDescent="0.35">
      <c r="A8" s="17">
        <f>'UF Geral'!A8</f>
        <v>45413</v>
      </c>
      <c r="B8" s="12">
        <f>'UF Geral'!B8/'UF Geral'!$AC8</f>
        <v>2.1853725953844645E-3</v>
      </c>
      <c r="C8" s="12">
        <f>'UF Geral'!C8/'UF Geral'!$AC8</f>
        <v>1.2590263461720888E-2</v>
      </c>
      <c r="D8" s="12">
        <f>'UF Geral'!D8/'UF Geral'!$AC8</f>
        <v>1.1432793391438207E-2</v>
      </c>
      <c r="E8" s="12">
        <f>'UF Geral'!E8/'UF Geral'!$AC8</f>
        <v>2.3026003743576574E-3</v>
      </c>
      <c r="F8" s="12">
        <f>'UF Geral'!F8/'UF Geral'!$AC8</f>
        <v>4.7248656315145292E-2</v>
      </c>
      <c r="G8" s="12">
        <f>'UF Geral'!G8/'UF Geral'!$AC8</f>
        <v>2.3585303646940781E-2</v>
      </c>
      <c r="H8" s="12">
        <f>'UF Geral'!H8/'UF Geral'!$AC8</f>
        <v>2.0525812862818047E-2</v>
      </c>
      <c r="I8" s="12">
        <f>'UF Geral'!I8/'UF Geral'!$AC8</f>
        <v>1.859911261656259E-2</v>
      </c>
      <c r="J8" s="12">
        <f>'UF Geral'!J8/'UF Geral'!$AC8</f>
        <v>3.1657824452943462E-2</v>
      </c>
      <c r="K8" s="12">
        <f>'UF Geral'!K8/'UF Geral'!$AC8</f>
        <v>1.7367449701956084E-2</v>
      </c>
      <c r="L8" s="12">
        <f>'UF Geral'!L8/'UF Geral'!$AC8</f>
        <v>9.1606722396135806E-2</v>
      </c>
      <c r="M8" s="12">
        <f>'UF Geral'!M8/'UF Geral'!$AC8</f>
        <v>1.2487534908041749E-2</v>
      </c>
      <c r="N8" s="12">
        <f>'UF Geral'!N8/'UF Geral'!$AC8</f>
        <v>2.365456058478152E-2</v>
      </c>
      <c r="O8" s="12">
        <f>'UF Geral'!O8/'UF Geral'!$AC8</f>
        <v>2.3024461272800611E-2</v>
      </c>
      <c r="P8" s="12">
        <f>'UF Geral'!P8/'UF Geral'!$AC8</f>
        <v>9.9179328423648853E-3</v>
      </c>
      <c r="Q8" s="12">
        <f>'UF Geral'!Q8/'UF Geral'!$AC8</f>
        <v>2.9788349872476229E-2</v>
      </c>
      <c r="R8" s="12">
        <f>'UF Geral'!R8/'UF Geral'!$AC8</f>
        <v>6.5780208711720698E-3</v>
      </c>
      <c r="S8" s="12">
        <f>'UF Geral'!S8/'UF Geral'!$AC8</f>
        <v>6.3966263079188138E-2</v>
      </c>
      <c r="T8" s="12">
        <f>'UF Geral'!T8/'UF Geral'!$AC8</f>
        <v>8.7607866909451562E-2</v>
      </c>
      <c r="U8" s="12">
        <f>'UF Geral'!U8/'UF Geral'!$AC8</f>
        <v>1.0760893121428697E-2</v>
      </c>
      <c r="V8" s="12">
        <f>'UF Geral'!V8/'UF Geral'!$AC8</f>
        <v>7.9494316380808276E-3</v>
      </c>
      <c r="W8" s="12">
        <f>'UF Geral'!W8/'UF Geral'!$AC8</f>
        <v>1.4400507164391136E-3</v>
      </c>
      <c r="X8" s="12">
        <f>'UF Geral'!X8/'UF Geral'!$AC8</f>
        <v>5.2873738740927378E-2</v>
      </c>
      <c r="Y8" s="12">
        <f>'UF Geral'!Y8/'UF Geral'!$AC8</f>
        <v>4.4477607566127647E-2</v>
      </c>
      <c r="Z8" s="12">
        <f>'UF Geral'!Z8/'UF Geral'!$AC8</f>
        <v>6.812939170351244E-3</v>
      </c>
      <c r="AA8" s="12">
        <f>'UF Geral'!AA8/'UF Geral'!$AC8</f>
        <v>0.33329199511653751</v>
      </c>
      <c r="AB8" s="12">
        <f>'UF Geral'!AB8/'UF Geral'!$AC8</f>
        <v>6.266441774427531E-3</v>
      </c>
      <c r="AC8" s="12">
        <f>'UF Geral'!AC8/'UF Geral'!$AC8</f>
        <v>1</v>
      </c>
    </row>
    <row r="9" spans="1:29" x14ac:dyDescent="0.35">
      <c r="A9" s="17">
        <f>'UF Geral'!A9</f>
        <v>45444</v>
      </c>
      <c r="B9" s="12">
        <f>'UF Geral'!B9/'UF Geral'!$AC9</f>
        <v>2.1812609465140724E-3</v>
      </c>
      <c r="C9" s="12">
        <f>'UF Geral'!C9/'UF Geral'!$AC9</f>
        <v>1.2499360480024459E-2</v>
      </c>
      <c r="D9" s="12">
        <f>'UF Geral'!D9/'UF Geral'!$AC9</f>
        <v>1.1432166307667468E-2</v>
      </c>
      <c r="E9" s="12">
        <f>'UF Geral'!E9/'UF Geral'!$AC9</f>
        <v>2.2868008897829065E-3</v>
      </c>
      <c r="F9" s="12">
        <f>'UF Geral'!F9/'UF Geral'!$AC9</f>
        <v>4.7036809084829302E-2</v>
      </c>
      <c r="G9" s="12">
        <f>'UF Geral'!G9/'UF Geral'!$AC9</f>
        <v>2.3516566401167588E-2</v>
      </c>
      <c r="H9" s="12">
        <f>'UF Geral'!H9/'UF Geral'!$AC9</f>
        <v>2.0642019847636472E-2</v>
      </c>
      <c r="I9" s="12">
        <f>'UF Geral'!I9/'UF Geral'!$AC9</f>
        <v>1.8641509457083538E-2</v>
      </c>
      <c r="J9" s="12">
        <f>'UF Geral'!J9/'UF Geral'!$AC9</f>
        <v>3.0329483754967194E-2</v>
      </c>
      <c r="K9" s="12">
        <f>'UF Geral'!K9/'UF Geral'!$AC9</f>
        <v>1.7252181031178856E-2</v>
      </c>
      <c r="L9" s="12">
        <f>'UF Geral'!L9/'UF Geral'!$AC9</f>
        <v>8.9482554048245691E-2</v>
      </c>
      <c r="M9" s="12">
        <f>'UF Geral'!M9/'UF Geral'!$AC9</f>
        <v>1.2484961706922471E-2</v>
      </c>
      <c r="N9" s="12">
        <f>'UF Geral'!N9/'UF Geral'!$AC9</f>
        <v>2.347367643873613E-2</v>
      </c>
      <c r="O9" s="12">
        <f>'UF Geral'!O9/'UF Geral'!$AC9</f>
        <v>2.2937705086780179E-2</v>
      </c>
      <c r="P9" s="12">
        <f>'UF Geral'!P9/'UF Geral'!$AC9</f>
        <v>9.9425060053606323E-3</v>
      </c>
      <c r="Q9" s="12">
        <f>'UF Geral'!Q9/'UF Geral'!$AC9</f>
        <v>2.9413170343306577E-2</v>
      </c>
      <c r="R9" s="12">
        <f>'UF Geral'!R9/'UF Geral'!$AC9</f>
        <v>6.5537394379638052E-3</v>
      </c>
      <c r="S9" s="12">
        <f>'UF Geral'!S9/'UF Geral'!$AC9</f>
        <v>6.3785186235875799E-2</v>
      </c>
      <c r="T9" s="12">
        <f>'UF Geral'!T9/'UF Geral'!$AC9</f>
        <v>8.7622355106218519E-2</v>
      </c>
      <c r="U9" s="12">
        <f>'UF Geral'!U9/'UF Geral'!$AC9</f>
        <v>1.0737042559403364E-2</v>
      </c>
      <c r="V9" s="12">
        <f>'UF Geral'!V9/'UF Geral'!$AC9</f>
        <v>7.9312731241998335E-3</v>
      </c>
      <c r="W9" s="12">
        <f>'UF Geral'!W9/'UF Geral'!$AC9</f>
        <v>1.4377328120773233E-3</v>
      </c>
      <c r="X9" s="12">
        <f>'UF Geral'!X9/'UF Geral'!$AC9</f>
        <v>5.1031855906882216E-2</v>
      </c>
      <c r="Y9" s="12">
        <f>'UF Geral'!Y9/'UF Geral'!$AC9</f>
        <v>4.4387894369375097E-2</v>
      </c>
      <c r="Z9" s="12">
        <f>'UF Geral'!Z9/'UF Geral'!$AC9</f>
        <v>6.760683506695583E-3</v>
      </c>
      <c r="AA9" s="12">
        <f>'UF Geral'!AA9/'UF Geral'!$AC9</f>
        <v>0.33995779014982996</v>
      </c>
      <c r="AB9" s="12">
        <f>'UF Geral'!AB9/'UF Geral'!$AC9</f>
        <v>6.2417149612749596E-3</v>
      </c>
      <c r="AC9" s="12">
        <f>'UF Geral'!AC9/'UF Geral'!$AC9</f>
        <v>1</v>
      </c>
    </row>
    <row r="10" spans="1:29" x14ac:dyDescent="0.35">
      <c r="A10" s="17">
        <f>'UF Geral'!A10</f>
        <v>45474</v>
      </c>
      <c r="B10" s="12">
        <f>'UF Geral'!B10/'UF Geral'!$AC10</f>
        <v>2.1704782125877915E-3</v>
      </c>
      <c r="C10" s="12">
        <f>'UF Geral'!C10/'UF Geral'!$AC10</f>
        <v>1.2096522370656301E-2</v>
      </c>
      <c r="D10" s="12">
        <f>'UF Geral'!D10/'UF Geral'!$AC10</f>
        <v>1.146448279782851E-2</v>
      </c>
      <c r="E10" s="12">
        <f>'UF Geral'!E10/'UF Geral'!$AC10</f>
        <v>2.2800378763408974E-3</v>
      </c>
      <c r="F10" s="12">
        <f>'UF Geral'!F10/'UF Geral'!$AC10</f>
        <v>4.65956943052145E-2</v>
      </c>
      <c r="G10" s="12">
        <f>'UF Geral'!G10/'UF Geral'!$AC10</f>
        <v>2.3305979732689764E-2</v>
      </c>
      <c r="H10" s="12">
        <f>'UF Geral'!H10/'UF Geral'!$AC10</f>
        <v>2.0884925986616228E-2</v>
      </c>
      <c r="I10" s="12">
        <f>'UF Geral'!I10/'UF Geral'!$AC10</f>
        <v>1.8508524708542907E-2</v>
      </c>
      <c r="J10" s="12">
        <f>'UF Geral'!J10/'UF Geral'!$AC10</f>
        <v>3.0326391127692708E-2</v>
      </c>
      <c r="K10" s="12">
        <f>'UF Geral'!K10/'UF Geral'!$AC10</f>
        <v>1.7582331248579674E-2</v>
      </c>
      <c r="L10" s="12">
        <f>'UF Geral'!L10/'UF Geral'!$AC10</f>
        <v>8.8715554111809466E-2</v>
      </c>
      <c r="M10" s="12">
        <f>'UF Geral'!M10/'UF Geral'!$AC10</f>
        <v>1.2460186800761148E-2</v>
      </c>
      <c r="N10" s="12">
        <f>'UF Geral'!N10/'UF Geral'!$AC10</f>
        <v>2.3887075596321434E-2</v>
      </c>
      <c r="O10" s="12">
        <f>'UF Geral'!O10/'UF Geral'!$AC10</f>
        <v>2.3023947993224488E-2</v>
      </c>
      <c r="P10" s="12">
        <f>'UF Geral'!P10/'UF Geral'!$AC10</f>
        <v>9.8838468085837693E-3</v>
      </c>
      <c r="Q10" s="12">
        <f>'UF Geral'!Q10/'UF Geral'!$AC10</f>
        <v>2.9335443916883804E-2</v>
      </c>
      <c r="R10" s="12">
        <f>'UF Geral'!R10/'UF Geral'!$AC10</f>
        <v>6.5079054048973782E-3</v>
      </c>
      <c r="S10" s="12">
        <f>'UF Geral'!S10/'UF Geral'!$AC10</f>
        <v>6.3819885140349156E-2</v>
      </c>
      <c r="T10" s="12">
        <f>'UF Geral'!T10/'UF Geral'!$AC10</f>
        <v>8.8230668205003013E-2</v>
      </c>
      <c r="U10" s="12">
        <f>'UF Geral'!U10/'UF Geral'!$AC10</f>
        <v>1.0709687299226929E-2</v>
      </c>
      <c r="V10" s="12">
        <f>'UF Geral'!V10/'UF Geral'!$AC10</f>
        <v>7.9272707966568032E-3</v>
      </c>
      <c r="W10" s="12">
        <f>'UF Geral'!W10/'UF Geral'!$AC10</f>
        <v>1.4327150986873248E-3</v>
      </c>
      <c r="X10" s="12">
        <f>'UF Geral'!X10/'UF Geral'!$AC10</f>
        <v>5.2683620999058309E-2</v>
      </c>
      <c r="Y10" s="12">
        <f>'UF Geral'!Y10/'UF Geral'!$AC10</f>
        <v>4.3867443854892059E-2</v>
      </c>
      <c r="Z10" s="12">
        <f>'UF Geral'!Z10/'UF Geral'!$AC10</f>
        <v>6.7419088884036618E-3</v>
      </c>
      <c r="AA10" s="12">
        <f>'UF Geral'!AA10/'UF Geral'!$AC10</f>
        <v>0.33932637992621451</v>
      </c>
      <c r="AB10" s="12">
        <f>'UF Geral'!AB10/'UF Geral'!$AC10</f>
        <v>6.2310907922774857E-3</v>
      </c>
      <c r="AC10" s="12">
        <f>'UF Geral'!AC10/'UF Geral'!$AC10</f>
        <v>1</v>
      </c>
    </row>
    <row r="11" spans="1:29" x14ac:dyDescent="0.35">
      <c r="A11" s="17">
        <f>'UF Geral'!A11</f>
        <v>45505</v>
      </c>
      <c r="B11" s="12">
        <f>'UF Geral'!B11/'UF Geral'!$AC11</f>
        <v>2.1782740916606279E-3</v>
      </c>
      <c r="C11" s="12">
        <f>'UF Geral'!C11/'UF Geral'!$AC11</f>
        <v>1.1487419439051681E-2</v>
      </c>
      <c r="D11" s="12">
        <f>'UF Geral'!D11/'UF Geral'!$AC11</f>
        <v>1.159030334580621E-2</v>
      </c>
      <c r="E11" s="12">
        <f>'UF Geral'!E11/'UF Geral'!$AC11</f>
        <v>2.2816200518886052E-3</v>
      </c>
      <c r="F11" s="12">
        <f>'UF Geral'!F11/'UF Geral'!$AC11</f>
        <v>4.6582074943533218E-2</v>
      </c>
      <c r="G11" s="12">
        <f>'UF Geral'!G11/'UF Geral'!$AC11</f>
        <v>2.3245140160070725E-2</v>
      </c>
      <c r="H11" s="12">
        <f>'UF Geral'!H11/'UF Geral'!$AC11</f>
        <v>2.1134787929007023E-2</v>
      </c>
      <c r="I11" s="12">
        <f>'UF Geral'!I11/'UF Geral'!$AC11</f>
        <v>1.8501083130350676E-2</v>
      </c>
      <c r="J11" s="12">
        <f>'UF Geral'!J11/'UF Geral'!$AC11</f>
        <v>3.0378783736641841E-2</v>
      </c>
      <c r="K11" s="12">
        <f>'UF Geral'!K11/'UF Geral'!$AC11</f>
        <v>1.7689101159677211E-2</v>
      </c>
      <c r="L11" s="12">
        <f>'UF Geral'!L11/'UF Geral'!$AC11</f>
        <v>8.8457827224344671E-2</v>
      </c>
      <c r="M11" s="12">
        <f>'UF Geral'!M11/'UF Geral'!$AC11</f>
        <v>1.2491923690328682E-2</v>
      </c>
      <c r="N11" s="12">
        <f>'UF Geral'!N11/'UF Geral'!$AC11</f>
        <v>2.4144296219401472E-2</v>
      </c>
      <c r="O11" s="12">
        <f>'UF Geral'!O11/'UF Geral'!$AC11</f>
        <v>2.3161354463552067E-2</v>
      </c>
      <c r="P11" s="12">
        <f>'UF Geral'!P11/'UF Geral'!$AC11</f>
        <v>1.0205991139354557E-2</v>
      </c>
      <c r="Q11" s="12">
        <f>'UF Geral'!Q11/'UF Geral'!$AC11</f>
        <v>2.936380627330001E-2</v>
      </c>
      <c r="R11" s="12">
        <f>'UF Geral'!R11/'UF Geral'!$AC11</f>
        <v>6.5859561927101825E-3</v>
      </c>
      <c r="S11" s="12">
        <f>'UF Geral'!S11/'UF Geral'!$AC11</f>
        <v>6.3760298979400887E-2</v>
      </c>
      <c r="T11" s="12">
        <f>'UF Geral'!T11/'UF Geral'!$AC11</f>
        <v>8.8141782648505917E-2</v>
      </c>
      <c r="U11" s="12">
        <f>'UF Geral'!U11/'UF Geral'!$AC11</f>
        <v>1.0759223164896874E-2</v>
      </c>
      <c r="V11" s="12">
        <f>'UF Geral'!V11/'UF Geral'!$AC11</f>
        <v>8.0699179316022236E-3</v>
      </c>
      <c r="W11" s="12">
        <f>'UF Geral'!W11/'UF Geral'!$AC11</f>
        <v>1.4345220172330543E-3</v>
      </c>
      <c r="X11" s="12">
        <f>'UF Geral'!X11/'UF Geral'!$AC11</f>
        <v>5.2857685219910501E-2</v>
      </c>
      <c r="Y11" s="12">
        <f>'UF Geral'!Y11/'UF Geral'!$AC11</f>
        <v>4.394297952101997E-2</v>
      </c>
      <c r="Z11" s="12">
        <f>'UF Geral'!Z11/'UF Geral'!$AC11</f>
        <v>6.7384338389481812E-3</v>
      </c>
      <c r="AA11" s="12">
        <f>'UF Geral'!AA11/'UF Geral'!$AC11</f>
        <v>0.33856105767120431</v>
      </c>
      <c r="AB11" s="12">
        <f>'UF Geral'!AB11/'UF Geral'!$AC11</f>
        <v>6.2543558165986547E-3</v>
      </c>
      <c r="AC11" s="12">
        <f>'UF Geral'!AC11/'UF Geral'!$AC11</f>
        <v>1</v>
      </c>
    </row>
    <row r="12" spans="1:29" x14ac:dyDescent="0.35">
      <c r="A12" s="17">
        <f>'UF Geral'!A12</f>
        <v>45536</v>
      </c>
      <c r="B12" s="12">
        <f>'UF Geral'!B12/'UF Geral'!$AC12</f>
        <v>2.1622607697219108E-3</v>
      </c>
      <c r="C12" s="12">
        <f>'UF Geral'!C12/'UF Geral'!$AC12</f>
        <v>1.1510800189782264E-2</v>
      </c>
      <c r="D12" s="12">
        <f>'UF Geral'!D12/'UF Geral'!$AC12</f>
        <v>1.1573192258784519E-2</v>
      </c>
      <c r="E12" s="12">
        <f>'UF Geral'!E12/'UF Geral'!$AC12</f>
        <v>2.2695689965071173E-3</v>
      </c>
      <c r="F12" s="12">
        <f>'UF Geral'!F12/'UF Geral'!$AC12</f>
        <v>4.6838201422140603E-2</v>
      </c>
      <c r="G12" s="12">
        <f>'UF Geral'!G12/'UF Geral'!$AC12</f>
        <v>2.3250473497550689E-2</v>
      </c>
      <c r="H12" s="12">
        <f>'UF Geral'!H12/'UF Geral'!$AC12</f>
        <v>2.1276155422169728E-2</v>
      </c>
      <c r="I12" s="12">
        <f>'UF Geral'!I12/'UF Geral'!$AC12</f>
        <v>1.8574594164118736E-2</v>
      </c>
      <c r="J12" s="12">
        <f>'UF Geral'!J12/'UF Geral'!$AC12</f>
        <v>3.041804985693514E-2</v>
      </c>
      <c r="K12" s="12">
        <f>'UF Geral'!K12/'UF Geral'!$AC12</f>
        <v>1.7734524045857403E-2</v>
      </c>
      <c r="L12" s="12">
        <f>'UF Geral'!L12/'UF Geral'!$AC12</f>
        <v>8.8532199749665239E-2</v>
      </c>
      <c r="M12" s="12">
        <f>'UF Geral'!M12/'UF Geral'!$AC12</f>
        <v>1.2502481502744408E-2</v>
      </c>
      <c r="N12" s="12">
        <f>'UF Geral'!N12/'UF Geral'!$AC12</f>
        <v>2.422621187396189E-2</v>
      </c>
      <c r="O12" s="12">
        <f>'UF Geral'!O12/'UF Geral'!$AC12</f>
        <v>2.308521882830147E-2</v>
      </c>
      <c r="P12" s="12">
        <f>'UF Geral'!P12/'UF Geral'!$AC12</f>
        <v>1.0295764467640054E-2</v>
      </c>
      <c r="Q12" s="12">
        <f>'UF Geral'!Q12/'UF Geral'!$AC12</f>
        <v>2.9193049799448589E-2</v>
      </c>
      <c r="R12" s="12">
        <f>'UF Geral'!R12/'UF Geral'!$AC12</f>
        <v>6.5686431564561613E-3</v>
      </c>
      <c r="S12" s="12">
        <f>'UF Geral'!S12/'UF Geral'!$AC12</f>
        <v>6.348339366866132E-2</v>
      </c>
      <c r="T12" s="12">
        <f>'UF Geral'!T12/'UF Geral'!$AC12</f>
        <v>8.8061729823945528E-2</v>
      </c>
      <c r="U12" s="12">
        <f>'UF Geral'!U12/'UF Geral'!$AC12</f>
        <v>1.0739713931597138E-2</v>
      </c>
      <c r="V12" s="12">
        <f>'UF Geral'!V12/'UF Geral'!$AC12</f>
        <v>8.0677390846454963E-3</v>
      </c>
      <c r="W12" s="12">
        <f>'UF Geral'!W12/'UF Geral'!$AC12</f>
        <v>1.4347109921182108E-3</v>
      </c>
      <c r="X12" s="12">
        <f>'UF Geral'!X12/'UF Geral'!$AC12</f>
        <v>5.3076795132498834E-2</v>
      </c>
      <c r="Y12" s="12">
        <f>'UF Geral'!Y12/'UF Geral'!$AC12</f>
        <v>4.3970312412572536E-2</v>
      </c>
      <c r="Z12" s="12">
        <f>'UF Geral'!Z12/'UF Geral'!$AC12</f>
        <v>6.5721689981933897E-3</v>
      </c>
      <c r="AA12" s="12">
        <f>'UF Geral'!AA12/'UF Geral'!$AC12</f>
        <v>0.33832781590200611</v>
      </c>
      <c r="AB12" s="12">
        <f>'UF Geral'!AB12/'UF Geral'!$AC12</f>
        <v>6.2542300519755059E-3</v>
      </c>
      <c r="AC12" s="12">
        <f>'UF Geral'!AC12/'UF Geral'!$AC12</f>
        <v>1</v>
      </c>
    </row>
    <row r="13" spans="1:29" x14ac:dyDescent="0.35">
      <c r="A13" s="17">
        <f>'UF Geral'!A13</f>
        <v>45566</v>
      </c>
      <c r="B13" s="12">
        <f>'UF Geral'!B13/'UF Geral'!$AC13</f>
        <v>2.1640228054594112E-3</v>
      </c>
      <c r="C13" s="12">
        <f>'UF Geral'!C13/'UF Geral'!$AC13</f>
        <v>1.145167367867613E-2</v>
      </c>
      <c r="D13" s="12">
        <f>'UF Geral'!D13/'UF Geral'!$AC13</f>
        <v>1.1565065616083781E-2</v>
      </c>
      <c r="E13" s="12">
        <f>'UF Geral'!E13/'UF Geral'!$AC13</f>
        <v>2.2625187510896495E-3</v>
      </c>
      <c r="F13" s="12">
        <f>'UF Geral'!F13/'UF Geral'!$AC13</f>
        <v>4.759786172598033E-2</v>
      </c>
      <c r="G13" s="12">
        <f>'UF Geral'!G13/'UF Geral'!$AC13</f>
        <v>2.3351443110003402E-2</v>
      </c>
      <c r="H13" s="12">
        <f>'UF Geral'!H13/'UF Geral'!$AC13</f>
        <v>2.1586724084128307E-2</v>
      </c>
      <c r="I13" s="12">
        <f>'UF Geral'!I13/'UF Geral'!$AC13</f>
        <v>1.8564813752222808E-2</v>
      </c>
      <c r="J13" s="12">
        <f>'UF Geral'!J13/'UF Geral'!$AC13</f>
        <v>3.0441935196051772E-2</v>
      </c>
      <c r="K13" s="12">
        <f>'UF Geral'!K13/'UF Geral'!$AC13</f>
        <v>1.7722278217302424E-2</v>
      </c>
      <c r="L13" s="12">
        <f>'UF Geral'!L13/'UF Geral'!$AC13</f>
        <v>8.8792270986666422E-2</v>
      </c>
      <c r="M13" s="12">
        <f>'UF Geral'!M13/'UF Geral'!$AC13</f>
        <v>1.25485050732252E-2</v>
      </c>
      <c r="N13" s="12">
        <f>'UF Geral'!N13/'UF Geral'!$AC13</f>
        <v>2.4282138596259495E-2</v>
      </c>
      <c r="O13" s="12">
        <f>'UF Geral'!O13/'UF Geral'!$AC13</f>
        <v>2.3100339248612736E-2</v>
      </c>
      <c r="P13" s="12">
        <f>'UF Geral'!P13/'UF Geral'!$AC13</f>
        <v>1.0451818230596337E-2</v>
      </c>
      <c r="Q13" s="12">
        <f>'UF Geral'!Q13/'UF Geral'!$AC13</f>
        <v>2.8570816228909442E-2</v>
      </c>
      <c r="R13" s="12">
        <f>'UF Geral'!R13/'UF Geral'!$AC13</f>
        <v>6.6107803508492465E-3</v>
      </c>
      <c r="S13" s="12">
        <f>'UF Geral'!S13/'UF Geral'!$AC13</f>
        <v>6.3527452932845979E-2</v>
      </c>
      <c r="T13" s="12">
        <f>'UF Geral'!T13/'UF Geral'!$AC13</f>
        <v>8.7424423741718091E-2</v>
      </c>
      <c r="U13" s="12">
        <f>'UF Geral'!U13/'UF Geral'!$AC13</f>
        <v>1.0729674077219909E-2</v>
      </c>
      <c r="V13" s="12">
        <f>'UF Geral'!V13/'UF Geral'!$AC13</f>
        <v>8.054931553677782E-3</v>
      </c>
      <c r="W13" s="12">
        <f>'UF Geral'!W13/'UF Geral'!$AC13</f>
        <v>1.447343201066553E-3</v>
      </c>
      <c r="X13" s="12">
        <f>'UF Geral'!X13/'UF Geral'!$AC13</f>
        <v>5.220148318478128E-2</v>
      </c>
      <c r="Y13" s="12">
        <f>'UF Geral'!Y13/'UF Geral'!$AC13</f>
        <v>4.4016895702673572E-2</v>
      </c>
      <c r="Z13" s="12">
        <f>'UF Geral'!Z13/'UF Geral'!$AC13</f>
        <v>6.594060360078681E-3</v>
      </c>
      <c r="AA13" s="12">
        <f>'UF Geral'!AA13/'UF Geral'!$AC13</f>
        <v>0.33860063709244831</v>
      </c>
      <c r="AB13" s="12">
        <f>'UF Geral'!AB13/'UF Geral'!$AC13</f>
        <v>6.3380925013729389E-3</v>
      </c>
      <c r="AC13" s="12">
        <f>'UF Geral'!AC13/'UF Geral'!$AC13</f>
        <v>1</v>
      </c>
    </row>
    <row r="14" spans="1:29" x14ac:dyDescent="0.35">
      <c r="A14" s="17">
        <f>'UF Geral'!A14</f>
        <v>45597</v>
      </c>
      <c r="B14" s="12">
        <f>'UF Geral'!B14/'UF Geral'!$AC14</f>
        <v>2.0352514248205139E-3</v>
      </c>
      <c r="C14" s="12">
        <f>'UF Geral'!C14/'UF Geral'!$AC14</f>
        <v>1.1425946223056193E-2</v>
      </c>
      <c r="D14" s="12">
        <f>'UF Geral'!D14/'UF Geral'!$AC14</f>
        <v>1.1648958300848769E-2</v>
      </c>
      <c r="E14" s="12">
        <f>'UF Geral'!E14/'UF Geral'!$AC14</f>
        <v>2.2299686550896116E-3</v>
      </c>
      <c r="F14" s="12">
        <f>'UF Geral'!F14/'UF Geral'!$AC14</f>
        <v>4.6247624031452918E-2</v>
      </c>
      <c r="G14" s="12">
        <f>'UF Geral'!G14/'UF Geral'!$AC14</f>
        <v>2.3309021568736325E-2</v>
      </c>
      <c r="H14" s="12">
        <f>'UF Geral'!H14/'UF Geral'!$AC14</f>
        <v>2.1729073792505972E-2</v>
      </c>
      <c r="I14" s="12">
        <f>'UF Geral'!I14/'UF Geral'!$AC14</f>
        <v>1.8555030816283534E-2</v>
      </c>
      <c r="J14" s="12">
        <f>'UF Geral'!J14/'UF Geral'!$AC14</f>
        <v>3.0116214240675062E-2</v>
      </c>
      <c r="K14" s="12">
        <f>'UF Geral'!K14/'UF Geral'!$AC14</f>
        <v>1.5896227886093461E-2</v>
      </c>
      <c r="L14" s="12">
        <f>'UF Geral'!L14/'UF Geral'!$AC14</f>
        <v>8.9632296286605503E-2</v>
      </c>
      <c r="M14" s="12">
        <f>'UF Geral'!M14/'UF Geral'!$AC14</f>
        <v>1.2569909950887142E-2</v>
      </c>
      <c r="N14" s="12">
        <f>'UF Geral'!N14/'UF Geral'!$AC14</f>
        <v>2.4102798527755192E-2</v>
      </c>
      <c r="O14" s="12">
        <f>'UF Geral'!O14/'UF Geral'!$AC14</f>
        <v>2.3261711366694377E-2</v>
      </c>
      <c r="P14" s="12">
        <f>'UF Geral'!P14/'UF Geral'!$AC14</f>
        <v>1.0637493563302496E-2</v>
      </c>
      <c r="Q14" s="12">
        <f>'UF Geral'!Q14/'UF Geral'!$AC14</f>
        <v>2.8476482189838653E-2</v>
      </c>
      <c r="R14" s="12">
        <f>'UF Geral'!R14/'UF Geral'!$AC14</f>
        <v>6.6404660435208226E-3</v>
      </c>
      <c r="S14" s="12">
        <f>'UF Geral'!S14/'UF Geral'!$AC14</f>
        <v>6.3196237698016397E-2</v>
      </c>
      <c r="T14" s="12">
        <f>'UF Geral'!T14/'UF Geral'!$AC14</f>
        <v>8.8114566750359585E-2</v>
      </c>
      <c r="U14" s="12">
        <f>'UF Geral'!U14/'UF Geral'!$AC14</f>
        <v>1.0822627054894287E-2</v>
      </c>
      <c r="V14" s="12">
        <f>'UF Geral'!V14/'UF Geral'!$AC14</f>
        <v>8.1524149119931357E-3</v>
      </c>
      <c r="W14" s="12">
        <f>'UF Geral'!W14/'UF Geral'!$AC14</f>
        <v>1.4424287323528003E-3</v>
      </c>
      <c r="X14" s="12">
        <f>'UF Geral'!X14/'UF Geral'!$AC14</f>
        <v>5.2632675833081698E-2</v>
      </c>
      <c r="Y14" s="12">
        <f>'UF Geral'!Y14/'UF Geral'!$AC14</f>
        <v>4.2946406364210973E-2</v>
      </c>
      <c r="Z14" s="12">
        <f>'UF Geral'!Z14/'UF Geral'!$AC14</f>
        <v>6.2616801815129682E-3</v>
      </c>
      <c r="AA14" s="12">
        <f>'UF Geral'!AA14/'UF Geral'!$AC14</f>
        <v>0.34153280490930815</v>
      </c>
      <c r="AB14" s="12">
        <f>'UF Geral'!AB14/'UF Geral'!$AC14</f>
        <v>6.38368269610345E-3</v>
      </c>
      <c r="AC14" s="12">
        <f>'UF Geral'!AC14/'UF Geral'!$AC14</f>
        <v>1</v>
      </c>
    </row>
    <row r="15" spans="1:29" x14ac:dyDescent="0.35">
      <c r="A15" s="19">
        <f>'UF Geral'!A15</f>
        <v>45627</v>
      </c>
      <c r="B15" s="21">
        <f>'UF Geral'!B15/'UF Geral'!$AC15</f>
        <v>2.017086917249577E-3</v>
      </c>
      <c r="C15" s="21">
        <f>'UF Geral'!C15/'UF Geral'!$AC15</f>
        <v>1.1341368136583117E-2</v>
      </c>
      <c r="D15" s="21">
        <f>'UF Geral'!D15/'UF Geral'!$AC15</f>
        <v>1.1525252543734299E-2</v>
      </c>
      <c r="E15" s="21">
        <f>'UF Geral'!E15/'UF Geral'!$AC15</f>
        <v>2.2284167583039209E-3</v>
      </c>
      <c r="F15" s="21">
        <f>'UF Geral'!F15/'UF Geral'!$AC15</f>
        <v>4.592368217699621E-2</v>
      </c>
      <c r="G15" s="21">
        <f>'UF Geral'!G15/'UF Geral'!$AC15</f>
        <v>2.3391895790297369E-2</v>
      </c>
      <c r="H15" s="21">
        <f>'UF Geral'!H15/'UF Geral'!$AC15</f>
        <v>2.1623952423035379E-2</v>
      </c>
      <c r="I15" s="21">
        <f>'UF Geral'!I15/'UF Geral'!$AC15</f>
        <v>1.8058943033647492E-2</v>
      </c>
      <c r="J15" s="21">
        <f>'UF Geral'!J15/'UF Geral'!$AC15</f>
        <v>3.2171537621285946E-2</v>
      </c>
      <c r="K15" s="21">
        <f>'UF Geral'!K15/'UF Geral'!$AC15</f>
        <v>1.6189756510209395E-2</v>
      </c>
      <c r="L15" s="21">
        <f>'UF Geral'!L15/'UF Geral'!$AC15</f>
        <v>8.873383235231154E-2</v>
      </c>
      <c r="M15" s="21">
        <f>'UF Geral'!M15/'UF Geral'!$AC15</f>
        <v>1.2457482448645019E-2</v>
      </c>
      <c r="N15" s="21">
        <f>'UF Geral'!N15/'UF Geral'!$AC15</f>
        <v>2.4229896372140566E-2</v>
      </c>
      <c r="O15" s="21">
        <f>'UF Geral'!O15/'UF Geral'!$AC15</f>
        <v>2.3507014138057853E-2</v>
      </c>
      <c r="P15" s="21">
        <f>'UF Geral'!P15/'UF Geral'!$AC15</f>
        <v>1.0600646370463346E-2</v>
      </c>
      <c r="Q15" s="21">
        <f>'UF Geral'!Q15/'UF Geral'!$AC15</f>
        <v>2.7749010897057058E-2</v>
      </c>
      <c r="R15" s="21">
        <f>'UF Geral'!R15/'UF Geral'!$AC15</f>
        <v>6.7024799084176362E-3</v>
      </c>
      <c r="S15" s="21">
        <f>'UF Geral'!S15/'UF Geral'!$AC15</f>
        <v>6.2886180126212401E-2</v>
      </c>
      <c r="T15" s="21">
        <f>'UF Geral'!T15/'UF Geral'!$AC15</f>
        <v>8.7205426633171046E-2</v>
      </c>
      <c r="U15" s="21">
        <f>'UF Geral'!U15/'UF Geral'!$AC15</f>
        <v>1.0683440096071216E-2</v>
      </c>
      <c r="V15" s="21">
        <f>'UF Geral'!V15/'UF Geral'!$AC15</f>
        <v>7.4996172886716839E-3</v>
      </c>
      <c r="W15" s="21">
        <f>'UF Geral'!W15/'UF Geral'!$AC15</f>
        <v>1.4485090115557474E-3</v>
      </c>
      <c r="X15" s="21">
        <f>'UF Geral'!X15/'UF Geral'!$AC15</f>
        <v>5.2459202362502948E-2</v>
      </c>
      <c r="Y15" s="21">
        <f>'UF Geral'!Y15/'UF Geral'!$AC15</f>
        <v>4.3160689356111823E-2</v>
      </c>
      <c r="Z15" s="21">
        <f>'UF Geral'!Z15/'UF Geral'!$AC15</f>
        <v>6.2098343698558872E-3</v>
      </c>
      <c r="AA15" s="21">
        <f>'UF Geral'!AA15/'UF Geral'!$AC15</f>
        <v>0.34359167415317116</v>
      </c>
      <c r="AB15" s="21">
        <f>'UF Geral'!AB15/'UF Geral'!$AC15</f>
        <v>6.4031722042403802E-3</v>
      </c>
      <c r="AC15" s="21">
        <f>'UF Geral'!AC15/'UF Geral'!$AC15</f>
        <v>1</v>
      </c>
    </row>
    <row r="16" spans="1:29" x14ac:dyDescent="0.35">
      <c r="A16" s="16">
        <f>'UF Geral'!A16</f>
        <v>45658</v>
      </c>
      <c r="B16" s="14">
        <f>'UF Geral'!B16/'UF Geral'!$AC16</f>
        <v>2.0321098885755185E-3</v>
      </c>
      <c r="C16" s="14">
        <f>'UF Geral'!C16/'UF Geral'!$AC16</f>
        <v>1.1400384201640551E-2</v>
      </c>
      <c r="D16" s="14">
        <f>'UF Geral'!D16/'UF Geral'!$AC16</f>
        <v>1.1738643793732214E-2</v>
      </c>
      <c r="E16" s="14">
        <f>'UF Geral'!E16/'UF Geral'!$AC16</f>
        <v>2.2284896251293998E-3</v>
      </c>
      <c r="F16" s="14">
        <f>'UF Geral'!F16/'UF Geral'!$AC16</f>
        <v>4.5897757922938973E-2</v>
      </c>
      <c r="G16" s="14">
        <f>'UF Geral'!G16/'UF Geral'!$AC16</f>
        <v>2.3528784720215176E-2</v>
      </c>
      <c r="H16" s="14">
        <f>'UF Geral'!H16/'UF Geral'!$AC16</f>
        <v>2.1779984130475417E-2</v>
      </c>
      <c r="I16" s="14">
        <f>'UF Geral'!I16/'UF Geral'!$AC16</f>
        <v>1.8005529560930641E-2</v>
      </c>
      <c r="J16" s="14">
        <f>'UF Geral'!J16/'UF Geral'!$AC16</f>
        <v>3.207790930649277E-2</v>
      </c>
      <c r="K16" s="14">
        <f>'UF Geral'!K16/'UF Geral'!$AC16</f>
        <v>1.632624259353373E-2</v>
      </c>
      <c r="L16" s="14">
        <f>'UF Geral'!L16/'UF Geral'!$AC16</f>
        <v>8.9915795431768933E-2</v>
      </c>
      <c r="M16" s="14">
        <f>'UF Geral'!M16/'UF Geral'!$AC16</f>
        <v>1.2829992650773621E-2</v>
      </c>
      <c r="N16" s="14">
        <f>'UF Geral'!N16/'UF Geral'!$AC16</f>
        <v>1.9710039613756492E-2</v>
      </c>
      <c r="O16" s="14">
        <f>'UF Geral'!O16/'UF Geral'!$AC16</f>
        <v>2.3788822719994475E-2</v>
      </c>
      <c r="P16" s="14">
        <f>'UF Geral'!P16/'UF Geral'!$AC16</f>
        <v>1.0810194030086036E-2</v>
      </c>
      <c r="Q16" s="14">
        <f>'UF Geral'!Q16/'UF Geral'!$AC16</f>
        <v>2.7857696756956804E-2</v>
      </c>
      <c r="R16" s="14">
        <f>'UF Geral'!R16/'UF Geral'!$AC16</f>
        <v>6.7450734284553934E-3</v>
      </c>
      <c r="S16" s="14">
        <f>'UF Geral'!S16/'UF Geral'!$AC16</f>
        <v>6.3170016357471173E-2</v>
      </c>
      <c r="T16" s="14">
        <f>'UF Geral'!T16/'UF Geral'!$AC16</f>
        <v>8.8528675870590559E-2</v>
      </c>
      <c r="U16" s="14">
        <f>'UF Geral'!U16/'UF Geral'!$AC16</f>
        <v>1.0786922731029575E-2</v>
      </c>
      <c r="V16" s="14">
        <f>'UF Geral'!V16/'UF Geral'!$AC16</f>
        <v>7.5552149104467867E-3</v>
      </c>
      <c r="W16" s="14">
        <f>'UF Geral'!W16/'UF Geral'!$AC16</f>
        <v>1.4453728775261558E-3</v>
      </c>
      <c r="X16" s="14">
        <f>'UF Geral'!X16/'UF Geral'!$AC16</f>
        <v>5.2095280205207817E-2</v>
      </c>
      <c r="Y16" s="14">
        <f>'UF Geral'!Y16/'UF Geral'!$AC16</f>
        <v>4.3239875295864538E-2</v>
      </c>
      <c r="Z16" s="14">
        <f>'UF Geral'!Z16/'UF Geral'!$AC16</f>
        <v>6.1005335132980464E-3</v>
      </c>
      <c r="AA16" s="14">
        <f>'UF Geral'!AA16/'UF Geral'!$AC16</f>
        <v>0.34392848054181591</v>
      </c>
      <c r="AB16" s="14">
        <f>'UF Geral'!AB16/'UF Geral'!$AC16</f>
        <v>6.4761773212933136E-3</v>
      </c>
      <c r="AC16" s="14">
        <f>'UF Geral'!AC16/'UF Geral'!$AC16</f>
        <v>1</v>
      </c>
    </row>
    <row r="17" spans="1:29" x14ac:dyDescent="0.35">
      <c r="A17" s="17">
        <f>'UF Geral'!A17</f>
        <v>45689</v>
      </c>
      <c r="B17" s="12">
        <f>'UF Geral'!B17/'UF Geral'!$AC17</f>
        <v>2.0398040869126486E-3</v>
      </c>
      <c r="C17" s="12">
        <f>'UF Geral'!C17/'UF Geral'!$AC17</f>
        <v>1.1278050435632406E-2</v>
      </c>
      <c r="D17" s="12">
        <f>'UF Geral'!D17/'UF Geral'!$AC17</f>
        <v>1.1914099374436517E-2</v>
      </c>
      <c r="E17" s="12">
        <f>'UF Geral'!E17/'UF Geral'!$AC17</f>
        <v>2.2371427250227455E-3</v>
      </c>
      <c r="F17" s="12">
        <f>'UF Geral'!F17/'UF Geral'!$AC17</f>
        <v>4.5732493043813008E-2</v>
      </c>
      <c r="G17" s="12">
        <f>'UF Geral'!G17/'UF Geral'!$AC17</f>
        <v>2.3267109039022685E-2</v>
      </c>
      <c r="H17" s="12">
        <f>'UF Geral'!H17/'UF Geral'!$AC17</f>
        <v>2.1941111205035141E-2</v>
      </c>
      <c r="I17" s="12">
        <f>'UF Geral'!I17/'UF Geral'!$AC17</f>
        <v>1.7799797889890341E-2</v>
      </c>
      <c r="J17" s="12">
        <f>'UF Geral'!J17/'UF Geral'!$AC17</f>
        <v>3.2201836780917883E-2</v>
      </c>
      <c r="K17" s="12">
        <f>'UF Geral'!K17/'UF Geral'!$AC17</f>
        <v>1.6234784675564971E-2</v>
      </c>
      <c r="L17" s="12">
        <f>'UF Geral'!L17/'UF Geral'!$AC17</f>
        <v>9.0389490509925979E-2</v>
      </c>
      <c r="M17" s="12">
        <f>'UF Geral'!M17/'UF Geral'!$AC17</f>
        <v>1.2994454784269107E-2</v>
      </c>
      <c r="N17" s="12">
        <f>'UF Geral'!N17/'UF Geral'!$AC17</f>
        <v>1.9586154367707859E-2</v>
      </c>
      <c r="O17" s="12">
        <f>'UF Geral'!O17/'UF Geral'!$AC17</f>
        <v>2.3779747695187793E-2</v>
      </c>
      <c r="P17" s="12">
        <f>'UF Geral'!P17/'UF Geral'!$AC17</f>
        <v>1.0827411456067559E-2</v>
      </c>
      <c r="Q17" s="12">
        <f>'UF Geral'!Q17/'UF Geral'!$AC17</f>
        <v>2.7855674178003574E-2</v>
      </c>
      <c r="R17" s="12">
        <f>'UF Geral'!R17/'UF Geral'!$AC17</f>
        <v>6.6941978611436978E-3</v>
      </c>
      <c r="S17" s="12">
        <f>'UF Geral'!S17/'UF Geral'!$AC17</f>
        <v>6.2854417985031122E-2</v>
      </c>
      <c r="T17" s="12">
        <f>'UF Geral'!T17/'UF Geral'!$AC17</f>
        <v>8.8981022797325268E-2</v>
      </c>
      <c r="U17" s="12">
        <f>'UF Geral'!U17/'UF Geral'!$AC17</f>
        <v>1.0847145319878569E-2</v>
      </c>
      <c r="V17" s="12">
        <f>'UF Geral'!V17/'UF Geral'!$AC17</f>
        <v>7.4851723576282725E-3</v>
      </c>
      <c r="W17" s="12">
        <f>'UF Geral'!W17/'UF Geral'!$AC17</f>
        <v>1.4451373550555067E-3</v>
      </c>
      <c r="X17" s="12">
        <f>'UF Geral'!X17/'UF Geral'!$AC17</f>
        <v>5.2091657023090682E-2</v>
      </c>
      <c r="Y17" s="12">
        <f>'UF Geral'!Y17/'UF Geral'!$AC17</f>
        <v>4.3085799010891622E-2</v>
      </c>
      <c r="Z17" s="12">
        <f>'UF Geral'!Z17/'UF Geral'!$AC17</f>
        <v>6.0166194477522389E-3</v>
      </c>
      <c r="AA17" s="12">
        <f>'UF Geral'!AA17/'UF Geral'!$AC17</f>
        <v>0.34392222030119768</v>
      </c>
      <c r="AB17" s="12">
        <f>'UF Geral'!AB17/'UF Geral'!$AC17</f>
        <v>6.4974482935951242E-3</v>
      </c>
      <c r="AC17" s="12">
        <f>'UF Geral'!AC17/'UF Geral'!$AC17</f>
        <v>1</v>
      </c>
    </row>
    <row r="18" spans="1:29" x14ac:dyDescent="0.35">
      <c r="A18" s="17">
        <f>'UF Geral'!A18</f>
        <v>45717</v>
      </c>
      <c r="B18" s="12">
        <f>'UF Geral'!B18/'UF Geral'!$AC18</f>
        <v>2.0500197902593251E-3</v>
      </c>
      <c r="C18" s="12">
        <f>'UF Geral'!C18/'UF Geral'!$AC18</f>
        <v>1.1000296240629929E-2</v>
      </c>
      <c r="D18" s="12">
        <f>'UF Geral'!D18/'UF Geral'!$AC18</f>
        <v>1.2014556049578531E-2</v>
      </c>
      <c r="E18" s="12">
        <f>'UF Geral'!E18/'UF Geral'!$AC18</f>
        <v>2.223897023120766E-3</v>
      </c>
      <c r="F18" s="12">
        <f>'UF Geral'!F18/'UF Geral'!$AC18</f>
        <v>4.5590177566893313E-2</v>
      </c>
      <c r="G18" s="12">
        <f>'UF Geral'!G18/'UF Geral'!$AC18</f>
        <v>2.345134907809714E-2</v>
      </c>
      <c r="H18" s="12">
        <f>'UF Geral'!H18/'UF Geral'!$AC18</f>
        <v>2.206422721959338E-2</v>
      </c>
      <c r="I18" s="12">
        <f>'UF Geral'!I18/'UF Geral'!$AC18</f>
        <v>1.7567805266734168E-2</v>
      </c>
      <c r="J18" s="12">
        <f>'UF Geral'!J18/'UF Geral'!$AC18</f>
        <v>3.2243332313157368E-2</v>
      </c>
      <c r="K18" s="12">
        <f>'UF Geral'!K18/'UF Geral'!$AC18</f>
        <v>1.6409537591897002E-2</v>
      </c>
      <c r="L18" s="12">
        <f>'UF Geral'!L18/'UF Geral'!$AC18</f>
        <v>9.0691334434892495E-2</v>
      </c>
      <c r="M18" s="12">
        <f>'UF Geral'!M18/'UF Geral'!$AC18</f>
        <v>1.3093027782695882E-2</v>
      </c>
      <c r="N18" s="12">
        <f>'UF Geral'!N18/'UF Geral'!$AC18</f>
        <v>1.9602962521736458E-2</v>
      </c>
      <c r="O18" s="12">
        <f>'UF Geral'!O18/'UF Geral'!$AC18</f>
        <v>2.3837342105403656E-2</v>
      </c>
      <c r="P18" s="12">
        <f>'UF Geral'!P18/'UF Geral'!$AC18</f>
        <v>1.0790777782443363E-2</v>
      </c>
      <c r="Q18" s="12">
        <f>'UF Geral'!Q18/'UF Geral'!$AC18</f>
        <v>2.7796259749209868E-2</v>
      </c>
      <c r="R18" s="12">
        <f>'UF Geral'!R18/'UF Geral'!$AC18</f>
        <v>6.714258524710119E-3</v>
      </c>
      <c r="S18" s="12">
        <f>'UF Geral'!S18/'UF Geral'!$AC18</f>
        <v>6.3020179715467584E-2</v>
      </c>
      <c r="T18" s="12">
        <f>'UF Geral'!T18/'UF Geral'!$AC18</f>
        <v>8.9074059724592897E-2</v>
      </c>
      <c r="U18" s="12">
        <f>'UF Geral'!U18/'UF Geral'!$AC18</f>
        <v>1.0846043326166128E-2</v>
      </c>
      <c r="V18" s="12">
        <f>'UF Geral'!V18/'UF Geral'!$AC18</f>
        <v>7.4741236767834358E-3</v>
      </c>
      <c r="W18" s="12">
        <f>'UF Geral'!W18/'UF Geral'!$AC18</f>
        <v>1.4532096366369864E-3</v>
      </c>
      <c r="X18" s="12">
        <f>'UF Geral'!X18/'UF Geral'!$AC18</f>
        <v>5.2176878022018772E-2</v>
      </c>
      <c r="Y18" s="12">
        <f>'UF Geral'!Y18/'UF Geral'!$AC18</f>
        <v>4.3147671408681192E-2</v>
      </c>
      <c r="Z18" s="12">
        <f>'UF Geral'!Z18/'UF Geral'!$AC18</f>
        <v>5.9896017085855095E-3</v>
      </c>
      <c r="AA18" s="12">
        <f>'UF Geral'!AA18/'UF Geral'!$AC18</f>
        <v>0.34314491534631797</v>
      </c>
      <c r="AB18" s="12">
        <f>'UF Geral'!AB18/'UF Geral'!$AC18</f>
        <v>6.532156393696727E-3</v>
      </c>
      <c r="AC18" s="12">
        <f>'UF Geral'!AC18/'UF Geral'!$AC18</f>
        <v>1</v>
      </c>
    </row>
    <row r="19" spans="1:29" x14ac:dyDescent="0.35">
      <c r="A19" s="17">
        <f>'UF Geral'!A19</f>
        <v>45748</v>
      </c>
      <c r="B19" s="12">
        <f>'UF Geral'!B19/'UF Geral'!$AC19</f>
        <v>2.0573123267273526E-3</v>
      </c>
      <c r="C19" s="12">
        <f>'UF Geral'!C19/'UF Geral'!$AC19</f>
        <v>1.0757882879406587E-2</v>
      </c>
      <c r="D19" s="12">
        <f>'UF Geral'!D19/'UF Geral'!$AC19</f>
        <v>1.2088358631829773E-2</v>
      </c>
      <c r="E19" s="12">
        <f>'UF Geral'!E19/'UF Geral'!$AC19</f>
        <v>2.2458969514116767E-3</v>
      </c>
      <c r="F19" s="12">
        <f>'UF Geral'!F19/'UF Geral'!$AC19</f>
        <v>4.5172612461121961E-2</v>
      </c>
      <c r="G19" s="12">
        <f>'UF Geral'!G19/'UF Geral'!$AC19</f>
        <v>2.3436690990902755E-2</v>
      </c>
      <c r="H19" s="12">
        <f>'UF Geral'!H19/'UF Geral'!$AC19</f>
        <v>2.229367733563601E-2</v>
      </c>
      <c r="I19" s="12">
        <f>'UF Geral'!I19/'UF Geral'!$AC19</f>
        <v>1.7478034241018448E-2</v>
      </c>
      <c r="J19" s="12">
        <f>'UF Geral'!J19/'UF Geral'!$AC19</f>
        <v>3.2445395349985841E-2</v>
      </c>
      <c r="K19" s="12">
        <f>'UF Geral'!K19/'UF Geral'!$AC19</f>
        <v>1.625882902979665E-2</v>
      </c>
      <c r="L19" s="12">
        <f>'UF Geral'!L19/'UF Geral'!$AC19</f>
        <v>9.1046523995288758E-2</v>
      </c>
      <c r="M19" s="12">
        <f>'UF Geral'!M19/'UF Geral'!$AC19</f>
        <v>1.2409822452627233E-2</v>
      </c>
      <c r="N19" s="12">
        <f>'UF Geral'!N19/'UF Geral'!$AC19</f>
        <v>1.9663034074042476E-2</v>
      </c>
      <c r="O19" s="12">
        <f>'UF Geral'!O19/'UF Geral'!$AC19</f>
        <v>2.382817246625191E-2</v>
      </c>
      <c r="P19" s="12">
        <f>'UF Geral'!P19/'UF Geral'!$AC19</f>
        <v>1.1015783578937679E-2</v>
      </c>
      <c r="Q19" s="12">
        <f>'UF Geral'!Q19/'UF Geral'!$AC19</f>
        <v>2.7644345113230755E-2</v>
      </c>
      <c r="R19" s="12">
        <f>'UF Geral'!R19/'UF Geral'!$AC19</f>
        <v>6.7235189441955086E-3</v>
      </c>
      <c r="S19" s="12">
        <f>'UF Geral'!S19/'UF Geral'!$AC19</f>
        <v>6.3555684521495986E-2</v>
      </c>
      <c r="T19" s="12">
        <f>'UF Geral'!T19/'UF Geral'!$AC19</f>
        <v>8.9664131344700984E-2</v>
      </c>
      <c r="U19" s="12">
        <f>'UF Geral'!U19/'UF Geral'!$AC19</f>
        <v>1.0929910223054638E-2</v>
      </c>
      <c r="V19" s="12">
        <f>'UF Geral'!V19/'UF Geral'!$AC19</f>
        <v>7.2815554414942859E-3</v>
      </c>
      <c r="W19" s="12">
        <f>'UF Geral'!W19/'UF Geral'!$AC19</f>
        <v>1.462092105067454E-3</v>
      </c>
      <c r="X19" s="12">
        <f>'UF Geral'!X19/'UF Geral'!$AC19</f>
        <v>5.3024973150544691E-2</v>
      </c>
      <c r="Y19" s="12">
        <f>'UF Geral'!Y19/'UF Geral'!$AC19</f>
        <v>4.3130313940080045E-2</v>
      </c>
      <c r="Z19" s="12">
        <f>'UF Geral'!Z19/'UF Geral'!$AC19</f>
        <v>5.9335401964479301E-3</v>
      </c>
      <c r="AA19" s="12">
        <f>'UF Geral'!AA19/'UF Geral'!$AC19</f>
        <v>0.34187389694130893</v>
      </c>
      <c r="AB19" s="12">
        <f>'UF Geral'!AB19/'UF Geral'!$AC19</f>
        <v>6.5780113133936894E-3</v>
      </c>
      <c r="AC19" s="12">
        <f>'UF Geral'!AC19/'UF Geral'!$AC19</f>
        <v>1</v>
      </c>
    </row>
    <row r="20" spans="1:29" x14ac:dyDescent="0.35">
      <c r="A20" s="17">
        <f>'UF Geral'!A20</f>
        <v>45778</v>
      </c>
      <c r="B20" s="12">
        <f>'UF Geral'!B20/'UF Geral'!$AC20</f>
        <v>2.052467559533588E-3</v>
      </c>
      <c r="C20" s="12">
        <f>'UF Geral'!C20/'UF Geral'!$AC20</f>
        <v>1.0600933082271505E-2</v>
      </c>
      <c r="D20" s="12">
        <f>'UF Geral'!D20/'UF Geral'!$AC20</f>
        <v>1.2182419137520963E-2</v>
      </c>
      <c r="E20" s="12">
        <f>'UF Geral'!E20/'UF Geral'!$AC20</f>
        <v>2.2284326282678811E-3</v>
      </c>
      <c r="F20" s="12">
        <f>'UF Geral'!F20/'UF Geral'!$AC20</f>
        <v>4.486256921922787E-2</v>
      </c>
      <c r="G20" s="12">
        <f>'UF Geral'!G20/'UF Geral'!$AC20</f>
        <v>2.3404728868760442E-2</v>
      </c>
      <c r="H20" s="12">
        <f>'UF Geral'!H20/'UF Geral'!$AC20</f>
        <v>2.2342889657116942E-2</v>
      </c>
      <c r="I20" s="12">
        <f>'UF Geral'!I20/'UF Geral'!$AC20</f>
        <v>1.6995613658243668E-2</v>
      </c>
      <c r="J20" s="12">
        <f>'UF Geral'!J20/'UF Geral'!$AC20</f>
        <v>3.2211643086201849E-2</v>
      </c>
      <c r="K20" s="12">
        <f>'UF Geral'!K20/'UF Geral'!$AC20</f>
        <v>1.5978728022753384E-2</v>
      </c>
      <c r="L20" s="12">
        <f>'UF Geral'!L20/'UF Geral'!$AC20</f>
        <v>9.1470766909383897E-2</v>
      </c>
      <c r="M20" s="12">
        <f>'UF Geral'!M20/'UF Geral'!$AC20</f>
        <v>1.3560308109336444E-2</v>
      </c>
      <c r="N20" s="12">
        <f>'UF Geral'!N20/'UF Geral'!$AC20</f>
        <v>1.9408534663262658E-2</v>
      </c>
      <c r="O20" s="12">
        <f>'UF Geral'!O20/'UF Geral'!$AC20</f>
        <v>2.3654516782737167E-2</v>
      </c>
      <c r="P20" s="12">
        <f>'UF Geral'!P20/'UF Geral'!$AC20</f>
        <v>1.1187804081042363E-2</v>
      </c>
      <c r="Q20" s="12">
        <f>'UF Geral'!Q20/'UF Geral'!$AC20</f>
        <v>2.7540320402146171E-2</v>
      </c>
      <c r="R20" s="12">
        <f>'UF Geral'!R20/'UF Geral'!$AC20</f>
        <v>6.6316835279236633E-3</v>
      </c>
      <c r="S20" s="12">
        <f>'UF Geral'!S20/'UF Geral'!$AC20</f>
        <v>6.3475961728147443E-2</v>
      </c>
      <c r="T20" s="12">
        <f>'UF Geral'!T20/'UF Geral'!$AC20</f>
        <v>8.9446068837259946E-2</v>
      </c>
      <c r="U20" s="12">
        <f>'UF Geral'!U20/'UF Geral'!$AC20</f>
        <v>1.0874091356939506E-2</v>
      </c>
      <c r="V20" s="12">
        <f>'UF Geral'!V20/'UF Geral'!$AC20</f>
        <v>7.2350512518883593E-3</v>
      </c>
      <c r="W20" s="12">
        <f>'UF Geral'!W20/'UF Geral'!$AC20</f>
        <v>1.4501996172484809E-3</v>
      </c>
      <c r="X20" s="12">
        <f>'UF Geral'!X20/'UF Geral'!$AC20</f>
        <v>5.3445265446743002E-2</v>
      </c>
      <c r="Y20" s="12">
        <f>'UF Geral'!Y20/'UF Geral'!$AC20</f>
        <v>4.4082274117559238E-2</v>
      </c>
      <c r="Z20" s="12">
        <f>'UF Geral'!Z20/'UF Geral'!$AC20</f>
        <v>5.757494565360094E-3</v>
      </c>
      <c r="AA20" s="12">
        <f>'UF Geral'!AA20/'UF Geral'!$AC20</f>
        <v>0.3413355281309719</v>
      </c>
      <c r="AB20" s="12">
        <f>'UF Geral'!AB20/'UF Geral'!$AC20</f>
        <v>6.5837055521515784E-3</v>
      </c>
      <c r="AC20" s="12">
        <f>'UF Geral'!AC20/'UF Geral'!$AC20</f>
        <v>1</v>
      </c>
    </row>
    <row r="21" spans="1:29" x14ac:dyDescent="0.35">
      <c r="A21" s="17">
        <f>'UF Geral'!A21</f>
        <v>45809</v>
      </c>
      <c r="B21" s="12">
        <f>'UF Geral'!B21/'UF Geral'!$AC21</f>
        <v>2.0309561616960853E-3</v>
      </c>
      <c r="C21" s="12">
        <f>'UF Geral'!C21/'UF Geral'!$AC21</f>
        <v>1.0465317934738427E-2</v>
      </c>
      <c r="D21" s="12">
        <f>'UF Geral'!D21/'UF Geral'!$AC21</f>
        <v>1.2246977276052872E-2</v>
      </c>
      <c r="E21" s="12">
        <f>'UF Geral'!E21/'UF Geral'!$AC21</f>
        <v>2.1981476162346424E-3</v>
      </c>
      <c r="F21" s="12">
        <f>'UF Geral'!F21/'UF Geral'!$AC21</f>
        <v>4.4242869298012674E-2</v>
      </c>
      <c r="G21" s="12">
        <f>'UF Geral'!G21/'UF Geral'!$AC21</f>
        <v>2.3311555991523909E-2</v>
      </c>
      <c r="H21" s="12">
        <f>'UF Geral'!H21/'UF Geral'!$AC21</f>
        <v>2.2415306824771431E-2</v>
      </c>
      <c r="I21" s="12">
        <f>'UF Geral'!I21/'UF Geral'!$AC21</f>
        <v>1.6805179954367842E-2</v>
      </c>
      <c r="J21" s="12">
        <f>'UF Geral'!J21/'UF Geral'!$AC21</f>
        <v>3.2341384898032184E-2</v>
      </c>
      <c r="K21" s="12">
        <f>'UF Geral'!K21/'UF Geral'!$AC21</f>
        <v>1.5896194971791521E-2</v>
      </c>
      <c r="L21" s="12">
        <f>'UF Geral'!L21/'UF Geral'!$AC21</f>
        <v>9.1994726830299314E-2</v>
      </c>
      <c r="M21" s="12">
        <f>'UF Geral'!M21/'UF Geral'!$AC21</f>
        <v>1.3704686238273565E-2</v>
      </c>
      <c r="N21" s="12">
        <f>'UF Geral'!N21/'UF Geral'!$AC21</f>
        <v>1.9335000731631972E-2</v>
      </c>
      <c r="O21" s="12">
        <f>'UF Geral'!O21/'UF Geral'!$AC21</f>
        <v>2.3601228057815185E-2</v>
      </c>
      <c r="P21" s="12">
        <f>'UF Geral'!P21/'UF Geral'!$AC21</f>
        <v>1.1438794920848259E-2</v>
      </c>
      <c r="Q21" s="12">
        <f>'UF Geral'!Q21/'UF Geral'!$AC21</f>
        <v>2.7387152542556595E-2</v>
      </c>
      <c r="R21" s="12">
        <f>'UF Geral'!R21/'UF Geral'!$AC21</f>
        <v>6.5608419729133588E-3</v>
      </c>
      <c r="S21" s="12">
        <f>'UF Geral'!S21/'UF Geral'!$AC21</f>
        <v>6.4374129493439694E-2</v>
      </c>
      <c r="T21" s="12">
        <f>'UF Geral'!T21/'UF Geral'!$AC21</f>
        <v>9.0054411740796342E-2</v>
      </c>
      <c r="U21" s="12">
        <f>'UF Geral'!U21/'UF Geral'!$AC21</f>
        <v>1.0811894710029862E-2</v>
      </c>
      <c r="V21" s="12">
        <f>'UF Geral'!V21/'UF Geral'!$AC21</f>
        <v>7.2178203870604113E-3</v>
      </c>
      <c r="W21" s="12">
        <f>'UF Geral'!W21/'UF Geral'!$AC21</f>
        <v>1.4754578119326464E-3</v>
      </c>
      <c r="X21" s="12">
        <f>'UF Geral'!X21/'UF Geral'!$AC21</f>
        <v>5.3548686043171707E-2</v>
      </c>
      <c r="Y21" s="12">
        <f>'UF Geral'!Y21/'UF Geral'!$AC21</f>
        <v>4.4432822636151288E-2</v>
      </c>
      <c r="Z21" s="12">
        <f>'UF Geral'!Z21/'UF Geral'!$AC21</f>
        <v>5.7036131780467056E-3</v>
      </c>
      <c r="AA21" s="12">
        <f>'UF Geral'!AA21/'UF Geral'!$AC21</f>
        <v>0.33978682412109323</v>
      </c>
      <c r="AB21" s="12">
        <f>'UF Geral'!AB21/'UF Geral'!$AC21</f>
        <v>6.6180176567182782E-3</v>
      </c>
      <c r="AC21" s="12">
        <f>'UF Geral'!AC21/'UF Geral'!$AC21</f>
        <v>1</v>
      </c>
    </row>
    <row r="22" spans="1:29" x14ac:dyDescent="0.35">
      <c r="A22" s="17">
        <f>'UF Geral'!A22</f>
        <v>45839</v>
      </c>
      <c r="B22" s="12">
        <f>'UF Geral'!B22/'UF Geral'!$AC22</f>
        <v>2.0158743678719547E-3</v>
      </c>
      <c r="C22" s="12">
        <f>'UF Geral'!C22/'UF Geral'!$AC22</f>
        <v>1.0371554297284048E-2</v>
      </c>
      <c r="D22" s="12">
        <f>'UF Geral'!D22/'UF Geral'!$AC22</f>
        <v>1.5582317265319867E-2</v>
      </c>
      <c r="E22" s="12">
        <f>'UF Geral'!E22/'UF Geral'!$AC22</f>
        <v>2.2147061127049004E-3</v>
      </c>
      <c r="F22" s="12">
        <f>'UF Geral'!F22/'UF Geral'!$AC22</f>
        <v>4.3859804105901901E-2</v>
      </c>
      <c r="G22" s="12">
        <f>'UF Geral'!G22/'UF Geral'!$AC22</f>
        <v>2.320846400894901E-2</v>
      </c>
      <c r="H22" s="12">
        <f>'UF Geral'!H22/'UF Geral'!$AC22</f>
        <v>2.2490270034078285E-2</v>
      </c>
      <c r="I22" s="12">
        <f>'UF Geral'!I22/'UF Geral'!$AC22</f>
        <v>1.6771615898206586E-2</v>
      </c>
      <c r="J22" s="12">
        <f>'UF Geral'!J22/'UF Geral'!$AC22</f>
        <v>3.2185427215319223E-2</v>
      </c>
      <c r="K22" s="12">
        <f>'UF Geral'!K22/'UF Geral'!$AC22</f>
        <v>1.5787082318188279E-2</v>
      </c>
      <c r="L22" s="12">
        <f>'UF Geral'!L22/'UF Geral'!$AC22</f>
        <v>9.2004379572437914E-2</v>
      </c>
      <c r="M22" s="12">
        <f>'UF Geral'!M22/'UF Geral'!$AC22</f>
        <v>1.3758682077797008E-2</v>
      </c>
      <c r="N22" s="12">
        <f>'UF Geral'!N22/'UF Geral'!$AC22</f>
        <v>1.9298941418735699E-2</v>
      </c>
      <c r="O22" s="12">
        <f>'UF Geral'!O22/'UF Geral'!$AC22</f>
        <v>2.3546530715680889E-2</v>
      </c>
      <c r="P22" s="12">
        <f>'UF Geral'!P22/'UF Geral'!$AC22</f>
        <v>1.1413970593470565E-2</v>
      </c>
      <c r="Q22" s="12">
        <f>'UF Geral'!Q22/'UF Geral'!$AC22</f>
        <v>2.7268165218104448E-2</v>
      </c>
      <c r="R22" s="12">
        <f>'UF Geral'!R22/'UF Geral'!$AC22</f>
        <v>6.5226833003221652E-3</v>
      </c>
      <c r="S22" s="12">
        <f>'UF Geral'!S22/'UF Geral'!$AC22</f>
        <v>6.4411992033017673E-2</v>
      </c>
      <c r="T22" s="12">
        <f>'UF Geral'!T22/'UF Geral'!$AC22</f>
        <v>9.0444183261689737E-2</v>
      </c>
      <c r="U22" s="12">
        <f>'UF Geral'!U22/'UF Geral'!$AC22</f>
        <v>1.0839758226927145E-2</v>
      </c>
      <c r="V22" s="12">
        <f>'UF Geral'!V22/'UF Geral'!$AC22</f>
        <v>7.0187078520871134E-3</v>
      </c>
      <c r="W22" s="12">
        <f>'UF Geral'!W22/'UF Geral'!$AC22</f>
        <v>1.4826677524180868E-3</v>
      </c>
      <c r="X22" s="12">
        <f>'UF Geral'!X22/'UF Geral'!$AC22</f>
        <v>5.388168878296249E-2</v>
      </c>
      <c r="Y22" s="12">
        <f>'UF Geral'!Y22/'UF Geral'!$AC22</f>
        <v>4.4453662314607199E-2</v>
      </c>
      <c r="Z22" s="12">
        <f>'UF Geral'!Z22/'UF Geral'!$AC22</f>
        <v>5.6420485365693508E-3</v>
      </c>
      <c r="AA22" s="12">
        <f>'UF Geral'!AA22/'UF Geral'!$AC22</f>
        <v>0.33683284236308103</v>
      </c>
      <c r="AB22" s="12">
        <f>'UF Geral'!AB22/'UF Geral'!$AC22</f>
        <v>6.6919803562674584E-3</v>
      </c>
      <c r="AC22" s="12">
        <f>'UF Geral'!AC22/'UF Geral'!$AC22</f>
        <v>1</v>
      </c>
    </row>
    <row r="23" spans="1:29" x14ac:dyDescent="0.35">
      <c r="A23" s="17">
        <f>'UF Geral'!A23</f>
        <v>45870</v>
      </c>
      <c r="B23" s="12">
        <f>'UF Geral'!B23/'UF Geral'!$AC23</f>
        <v>2.0218264737768754E-3</v>
      </c>
      <c r="C23" s="12">
        <f>'UF Geral'!C23/'UF Geral'!$AC23</f>
        <v>8.6666042060591902E-3</v>
      </c>
      <c r="D23" s="12">
        <f>'UF Geral'!D23/'UF Geral'!$AC23</f>
        <v>1.6059999607563727E-2</v>
      </c>
      <c r="E23" s="12">
        <f>'UF Geral'!E23/'UF Geral'!$AC23</f>
        <v>2.2121970492690744E-3</v>
      </c>
      <c r="F23" s="12">
        <f>'UF Geral'!F23/'UF Geral'!$AC23</f>
        <v>4.388438099740407E-2</v>
      </c>
      <c r="G23" s="12">
        <f>'UF Geral'!G23/'UF Geral'!$AC23</f>
        <v>2.3351257621807606E-2</v>
      </c>
      <c r="H23" s="12">
        <f>'UF Geral'!H23/'UF Geral'!$AC23</f>
        <v>2.2544034403406556E-2</v>
      </c>
      <c r="I23" s="12">
        <f>'UF Geral'!I23/'UF Geral'!$AC23</f>
        <v>1.6722333275334199E-2</v>
      </c>
      <c r="J23" s="12">
        <f>'UF Geral'!J23/'UF Geral'!$AC23</f>
        <v>3.215521452294888E-2</v>
      </c>
      <c r="K23" s="12">
        <f>'UF Geral'!K23/'UF Geral'!$AC23</f>
        <v>1.5791791506665504E-2</v>
      </c>
      <c r="L23" s="12">
        <f>'UF Geral'!L23/'UF Geral'!$AC23</f>
        <v>9.241822219351864E-2</v>
      </c>
      <c r="M23" s="12">
        <f>'UF Geral'!M23/'UF Geral'!$AC23</f>
        <v>1.3868333992375042E-2</v>
      </c>
      <c r="N23" s="12">
        <f>'UF Geral'!N23/'UF Geral'!$AC23</f>
        <v>1.924276172737972E-2</v>
      </c>
      <c r="O23" s="12">
        <f>'UF Geral'!O23/'UF Geral'!$AC23</f>
        <v>2.3781118279642549E-2</v>
      </c>
      <c r="P23" s="12">
        <f>'UF Geral'!P23/'UF Geral'!$AC23</f>
        <v>1.1499422326011364E-2</v>
      </c>
      <c r="Q23" s="12">
        <f>'UF Geral'!Q23/'UF Geral'!$AC23</f>
        <v>2.726236586833607E-2</v>
      </c>
      <c r="R23" s="12">
        <f>'UF Geral'!R23/'UF Geral'!$AC23</f>
        <v>6.5379622967501726E-3</v>
      </c>
      <c r="S23" s="12">
        <f>'UF Geral'!S23/'UF Geral'!$AC23</f>
        <v>6.4285349509331208E-2</v>
      </c>
      <c r="T23" s="12">
        <f>'UF Geral'!T23/'UF Geral'!$AC23</f>
        <v>9.0777396762296805E-2</v>
      </c>
      <c r="U23" s="12">
        <f>'UF Geral'!U23/'UF Geral'!$AC23</f>
        <v>1.0851512640411294E-2</v>
      </c>
      <c r="V23" s="12">
        <f>'UF Geral'!V23/'UF Geral'!$AC23</f>
        <v>7.0025184792652656E-3</v>
      </c>
      <c r="W23" s="12">
        <f>'UF Geral'!W23/'UF Geral'!$AC23</f>
        <v>1.4912578323197779E-3</v>
      </c>
      <c r="X23" s="12">
        <f>'UF Geral'!X23/'UF Geral'!$AC23</f>
        <v>5.4380102077612201E-2</v>
      </c>
      <c r="Y23" s="12">
        <f>'UF Geral'!Y23/'UF Geral'!$AC23</f>
        <v>4.4664185655102835E-2</v>
      </c>
      <c r="Z23" s="12">
        <f>'UF Geral'!Z23/'UF Geral'!$AC23</f>
        <v>5.6535512818696914E-3</v>
      </c>
      <c r="AA23" s="12">
        <f>'UF Geral'!AA23/'UF Geral'!$AC23</f>
        <v>0.33600536520158425</v>
      </c>
      <c r="AB23" s="12">
        <f>'UF Geral'!AB23/'UF Geral'!$AC23</f>
        <v>6.8689342119574292E-3</v>
      </c>
      <c r="AC23" s="12">
        <f>'UF Geral'!AC23/'UF Geral'!$AC23</f>
        <v>1</v>
      </c>
    </row>
    <row r="24" spans="1:29" x14ac:dyDescent="0.35">
      <c r="A24" s="17">
        <f>'UF Geral'!A24</f>
        <v>45901</v>
      </c>
      <c r="B24" s="12">
        <f>'UF Geral'!B24/'UF Geral'!$AC24</f>
        <v>2.0214379241359436E-3</v>
      </c>
      <c r="C24" s="12">
        <f>'UF Geral'!C24/'UF Geral'!$AC24</f>
        <v>8.9048833340643271E-3</v>
      </c>
      <c r="D24" s="12">
        <f>'UF Geral'!D24/'UF Geral'!$AC24</f>
        <v>1.5997698690005172E-2</v>
      </c>
      <c r="E24" s="12">
        <f>'UF Geral'!E24/'UF Geral'!$AC24</f>
        <v>2.1949912827453149E-3</v>
      </c>
      <c r="F24" s="12">
        <f>'UF Geral'!F24/'UF Geral'!$AC24</f>
        <v>4.3703148604780549E-2</v>
      </c>
      <c r="G24" s="12">
        <f>'UF Geral'!G24/'UF Geral'!$AC24</f>
        <v>2.3379434517664301E-2</v>
      </c>
      <c r="H24" s="12">
        <f>'UF Geral'!H24/'UF Geral'!$AC24</f>
        <v>2.2564073047238811E-2</v>
      </c>
      <c r="I24" s="12">
        <f>'UF Geral'!I24/'UF Geral'!$AC24</f>
        <v>1.6396959385372278E-2</v>
      </c>
      <c r="J24" s="12">
        <f>'UF Geral'!J24/'UF Geral'!$AC24</f>
        <v>3.1888701651220083E-2</v>
      </c>
      <c r="K24" s="12">
        <f>'UF Geral'!K24/'UF Geral'!$AC24</f>
        <v>1.5677485831397876E-2</v>
      </c>
      <c r="L24" s="12">
        <f>'UF Geral'!L24/'UF Geral'!$AC24</f>
        <v>9.3175909587371555E-2</v>
      </c>
      <c r="M24" s="12">
        <f>'UF Geral'!M24/'UF Geral'!$AC24</f>
        <v>1.3992598156614501E-2</v>
      </c>
      <c r="N24" s="12">
        <f>'UF Geral'!N24/'UF Geral'!$AC24</f>
        <v>1.9147421953456784E-2</v>
      </c>
      <c r="O24" s="12">
        <f>'UF Geral'!O24/'UF Geral'!$AC24</f>
        <v>2.3651766254164305E-2</v>
      </c>
      <c r="P24" s="12">
        <f>'UF Geral'!P24/'UF Geral'!$AC24</f>
        <v>1.1536962655363874E-2</v>
      </c>
      <c r="Q24" s="12">
        <f>'UF Geral'!Q24/'UF Geral'!$AC24</f>
        <v>2.7081612932779053E-2</v>
      </c>
      <c r="R24" s="12">
        <f>'UF Geral'!R24/'UF Geral'!$AC24</f>
        <v>6.4841847145612778E-3</v>
      </c>
      <c r="S24" s="12">
        <f>'UF Geral'!S24/'UF Geral'!$AC24</f>
        <v>6.4275568047934412E-2</v>
      </c>
      <c r="T24" s="12">
        <f>'UF Geral'!T24/'UF Geral'!$AC24</f>
        <v>9.1085100588686463E-2</v>
      </c>
      <c r="U24" s="12">
        <f>'UF Geral'!U24/'UF Geral'!$AC24</f>
        <v>1.0830684686222189E-2</v>
      </c>
      <c r="V24" s="12">
        <f>'UF Geral'!V24/'UF Geral'!$AC24</f>
        <v>6.9319548932181858E-3</v>
      </c>
      <c r="W24" s="12">
        <f>'UF Geral'!W24/'UF Geral'!$AC24</f>
        <v>1.5009035205443316E-3</v>
      </c>
      <c r="X24" s="12">
        <f>'UF Geral'!X24/'UF Geral'!$AC24</f>
        <v>5.495068809948013E-2</v>
      </c>
      <c r="Y24" s="12">
        <f>'UF Geral'!Y24/'UF Geral'!$AC24</f>
        <v>4.4646318739728651E-2</v>
      </c>
      <c r="Z24" s="12">
        <f>'UF Geral'!Z24/'UF Geral'!$AC24</f>
        <v>5.5324688675310318E-3</v>
      </c>
      <c r="AA24" s="12">
        <f>'UF Geral'!AA24/'UF Geral'!$AC24</f>
        <v>0.33502383436801381</v>
      </c>
      <c r="AB24" s="12">
        <f>'UF Geral'!AB24/'UF Geral'!$AC24</f>
        <v>7.4232076657048136E-3</v>
      </c>
      <c r="AC24" s="12">
        <f>'UF Geral'!AC24/'UF Geral'!$AC24</f>
        <v>1</v>
      </c>
    </row>
    <row r="25" spans="1:29" x14ac:dyDescent="0.35">
      <c r="A25" s="17">
        <f>'UF Geral'!A25</f>
        <v>45931</v>
      </c>
      <c r="B25" s="12">
        <f>'UF Geral'!B25/'UF Geral'!$AC25</f>
        <v>2.0102975772959661E-3</v>
      </c>
      <c r="C25" s="12">
        <f>'UF Geral'!C25/'UF Geral'!$AC25</f>
        <v>8.9460309146173096E-3</v>
      </c>
      <c r="D25" s="12">
        <f>'UF Geral'!D25/'UF Geral'!$AC25</f>
        <v>1.6028396577946816E-2</v>
      </c>
      <c r="E25" s="12">
        <f>'UF Geral'!E25/'UF Geral'!$AC25</f>
        <v>2.3170582394175169E-3</v>
      </c>
      <c r="F25" s="12">
        <f>'UF Geral'!F25/'UF Geral'!$AC25</f>
        <v>4.3650109007638375E-2</v>
      </c>
      <c r="G25" s="12">
        <f>'UF Geral'!G25/'UF Geral'!$AC25</f>
        <v>2.3421048888019956E-2</v>
      </c>
      <c r="H25" s="12">
        <f>'UF Geral'!H25/'UF Geral'!$AC25</f>
        <v>2.2732630786976668E-2</v>
      </c>
      <c r="I25" s="12">
        <f>'UF Geral'!I25/'UF Geral'!$AC25</f>
        <v>1.6230350386818752E-2</v>
      </c>
      <c r="J25" s="12">
        <f>'UF Geral'!J25/'UF Geral'!$AC25</f>
        <v>3.1917455970482886E-2</v>
      </c>
      <c r="K25" s="12">
        <f>'UF Geral'!K25/'UF Geral'!$AC25</f>
        <v>1.5498647784897429E-2</v>
      </c>
      <c r="L25" s="12">
        <f>'UF Geral'!L25/'UF Geral'!$AC25</f>
        <v>9.3969557135115608E-2</v>
      </c>
      <c r="M25" s="12">
        <f>'UF Geral'!M25/'UF Geral'!$AC25</f>
        <v>1.4008615317874201E-2</v>
      </c>
      <c r="N25" s="12">
        <f>'UF Geral'!N25/'UF Geral'!$AC25</f>
        <v>1.9165793377544316E-2</v>
      </c>
      <c r="O25" s="12">
        <f>'UF Geral'!O25/'UF Geral'!$AC25</f>
        <v>2.3563668886699536E-2</v>
      </c>
      <c r="P25" s="12">
        <f>'UF Geral'!P25/'UF Geral'!$AC25</f>
        <v>1.1642314879424092E-2</v>
      </c>
      <c r="Q25" s="12">
        <f>'UF Geral'!Q25/'UF Geral'!$AC25</f>
        <v>2.7229841793933434E-2</v>
      </c>
      <c r="R25" s="12">
        <f>'UF Geral'!R25/'UF Geral'!$AC25</f>
        <v>6.4969306303864736E-3</v>
      </c>
      <c r="S25" s="12">
        <f>'UF Geral'!S25/'UF Geral'!$AC25</f>
        <v>6.4189942116706936E-2</v>
      </c>
      <c r="T25" s="12">
        <f>'UF Geral'!T25/'UF Geral'!$AC25</f>
        <v>9.1988683291562567E-2</v>
      </c>
      <c r="U25" s="12">
        <f>'UF Geral'!U25/'UF Geral'!$AC25</f>
        <v>1.0852372738400028E-2</v>
      </c>
      <c r="V25" s="12">
        <f>'UF Geral'!V25/'UF Geral'!$AC25</f>
        <v>6.9296540534901597E-3</v>
      </c>
      <c r="W25" s="12">
        <f>'UF Geral'!W25/'UF Geral'!$AC25</f>
        <v>1.5115531317856207E-3</v>
      </c>
      <c r="X25" s="12">
        <f>'UF Geral'!X25/'UF Geral'!$AC25</f>
        <v>5.5335100459557383E-2</v>
      </c>
      <c r="Y25" s="12">
        <f>'UF Geral'!Y25/'UF Geral'!$AC25</f>
        <v>4.4702797795846218E-2</v>
      </c>
      <c r="Z25" s="12">
        <f>'UF Geral'!Z25/'UF Geral'!$AC25</f>
        <v>5.5049130948138479E-3</v>
      </c>
      <c r="AA25" s="12">
        <f>'UF Geral'!AA25/'UF Geral'!$AC25</f>
        <v>0.33265658745724591</v>
      </c>
      <c r="AB25" s="12">
        <f>'UF Geral'!AB25/'UF Geral'!$AC25</f>
        <v>7.4996477055019831E-3</v>
      </c>
      <c r="AC25" s="12">
        <f>'UF Geral'!AC25/'UF Geral'!$AC25</f>
        <v>1</v>
      </c>
    </row>
    <row r="26" spans="1:29" x14ac:dyDescent="0.35">
      <c r="A26" s="17">
        <f>'UF Geral'!A26</f>
        <v>45962</v>
      </c>
      <c r="B26" s="12">
        <f>'UF Geral'!B26/'UF Geral'!$AC26</f>
        <v>2.0466707370696089E-3</v>
      </c>
      <c r="C26" s="12">
        <f>'UF Geral'!C26/'UF Geral'!$AC26</f>
        <v>8.9595532776275046E-3</v>
      </c>
      <c r="D26" s="12">
        <f>'UF Geral'!D26/'UF Geral'!$AC26</f>
        <v>1.6015762093569752E-2</v>
      </c>
      <c r="E26" s="12">
        <f>'UF Geral'!E26/'UF Geral'!$AC26</f>
        <v>2.4428350032189086E-3</v>
      </c>
      <c r="F26" s="12">
        <f>'UF Geral'!F26/'UF Geral'!$AC26</f>
        <v>4.3524321923153864E-2</v>
      </c>
      <c r="G26" s="12">
        <f>'UF Geral'!G26/'UF Geral'!$AC26</f>
        <v>2.3406082491864929E-2</v>
      </c>
      <c r="H26" s="12">
        <f>'UF Geral'!H26/'UF Geral'!$AC26</f>
        <v>2.2797776354534154E-2</v>
      </c>
      <c r="I26" s="12">
        <f>'UF Geral'!I26/'UF Geral'!$AC26</f>
        <v>1.5927132352086214E-2</v>
      </c>
      <c r="J26" s="12">
        <f>'UF Geral'!J26/'UF Geral'!$AC26</f>
        <v>3.1899232136598482E-2</v>
      </c>
      <c r="K26" s="12">
        <f>'UF Geral'!K26/'UF Geral'!$AC26</f>
        <v>1.5332114743599022E-2</v>
      </c>
      <c r="L26" s="12">
        <f>'UF Geral'!L26/'UF Geral'!$AC26</f>
        <v>9.4426150306075166E-2</v>
      </c>
      <c r="M26" s="12">
        <f>'UF Geral'!M26/'UF Geral'!$AC26</f>
        <v>1.4158571540100152E-2</v>
      </c>
      <c r="N26" s="12">
        <f>'UF Geral'!N26/'UF Geral'!$AC26</f>
        <v>1.9050529868222879E-2</v>
      </c>
      <c r="O26" s="12">
        <f>'UF Geral'!O26/'UF Geral'!$AC26</f>
        <v>2.3634835024100884E-2</v>
      </c>
      <c r="P26" s="12">
        <f>'UF Geral'!P26/'UF Geral'!$AC26</f>
        <v>1.1630310280029643E-2</v>
      </c>
      <c r="Q26" s="12">
        <f>'UF Geral'!Q26/'UF Geral'!$AC26</f>
        <v>2.74679823575796E-2</v>
      </c>
      <c r="R26" s="12">
        <f>'UF Geral'!R26/'UF Geral'!$AC26</f>
        <v>6.4959549480904976E-3</v>
      </c>
      <c r="S26" s="12">
        <f>'UF Geral'!S26/'UF Geral'!$AC26</f>
        <v>6.4361921625680649E-2</v>
      </c>
      <c r="T26" s="12">
        <f>'UF Geral'!T26/'UF Geral'!$AC26</f>
        <v>9.2326800043947069E-2</v>
      </c>
      <c r="U26" s="12">
        <f>'UF Geral'!U26/'UF Geral'!$AC26</f>
        <v>1.0804879073201048E-2</v>
      </c>
      <c r="V26" s="12">
        <f>'UF Geral'!V26/'UF Geral'!$AC26</f>
        <v>6.89900077381951E-3</v>
      </c>
      <c r="W26" s="12">
        <f>'UF Geral'!W26/'UF Geral'!$AC26</f>
        <v>1.5260451605906846E-3</v>
      </c>
      <c r="X26" s="12">
        <f>'UF Geral'!X26/'UF Geral'!$AC26</f>
        <v>5.5240295755193028E-2</v>
      </c>
      <c r="Y26" s="12">
        <f>'UF Geral'!Y26/'UF Geral'!$AC26</f>
        <v>4.448477407483957E-2</v>
      </c>
      <c r="Z26" s="12">
        <f>'UF Geral'!Z26/'UF Geral'!$AC26</f>
        <v>5.3697521285968903E-3</v>
      </c>
      <c r="AA26" s="12">
        <f>'UF Geral'!AA26/'UF Geral'!$AC26</f>
        <v>0.33227764672493526</v>
      </c>
      <c r="AB26" s="12">
        <f>'UF Geral'!AB26/'UF Geral'!$AC26</f>
        <v>7.4930692016750193E-3</v>
      </c>
      <c r="AC26" s="12">
        <f>'UF Geral'!AC26/'UF Geral'!$AC26</f>
        <v>1</v>
      </c>
    </row>
    <row r="27" spans="1:29" x14ac:dyDescent="0.35">
      <c r="A27" s="19">
        <f>'UF Geral'!A27</f>
        <v>45992</v>
      </c>
      <c r="B27" s="21">
        <f>'UF Geral'!B27/'UF Geral'!$AC27</f>
        <v>2.0207404843428181E-3</v>
      </c>
      <c r="C27" s="21">
        <f>'UF Geral'!C27/'UF Geral'!$AC27</f>
        <v>8.9527727305968585E-3</v>
      </c>
      <c r="D27" s="21">
        <f>'UF Geral'!D27/'UF Geral'!$AC27</f>
        <v>1.5886451009711828E-2</v>
      </c>
      <c r="E27" s="21">
        <f>'UF Geral'!E27/'UF Geral'!$AC27</f>
        <v>2.5596986725215272E-3</v>
      </c>
      <c r="F27" s="21">
        <f>'UF Geral'!F27/'UF Geral'!$AC27</f>
        <v>4.3462909823970892E-2</v>
      </c>
      <c r="G27" s="21">
        <f>'UF Geral'!G27/'UF Geral'!$AC27</f>
        <v>2.3525924664838316E-2</v>
      </c>
      <c r="H27" s="21">
        <f>'UF Geral'!H27/'UF Geral'!$AC27</f>
        <v>2.2920890014670854E-2</v>
      </c>
      <c r="I27" s="21">
        <f>'UF Geral'!I27/'UF Geral'!$AC27</f>
        <v>1.5819316383741053E-2</v>
      </c>
      <c r="J27" s="21">
        <f>'UF Geral'!J27/'UF Geral'!$AC27</f>
        <v>3.202450989959435E-2</v>
      </c>
      <c r="K27" s="21">
        <f>'UF Geral'!K27/'UF Geral'!$AC27</f>
        <v>1.5360308363093215E-2</v>
      </c>
      <c r="L27" s="21">
        <f>'UF Geral'!L27/'UF Geral'!$AC27</f>
        <v>9.4833831806951388E-2</v>
      </c>
      <c r="M27" s="21">
        <f>'UF Geral'!M27/'UF Geral'!$AC27</f>
        <v>1.422889591875558E-2</v>
      </c>
      <c r="N27" s="21">
        <f>'UF Geral'!N27/'UF Geral'!$AC27</f>
        <v>1.9069290693871043E-2</v>
      </c>
      <c r="O27" s="21">
        <f>'UF Geral'!O27/'UF Geral'!$AC27</f>
        <v>2.3595763487652049E-2</v>
      </c>
      <c r="P27" s="21">
        <f>'UF Geral'!P27/'UF Geral'!$AC27</f>
        <v>1.162969245757174E-2</v>
      </c>
      <c r="Q27" s="21">
        <f>'UF Geral'!Q27/'UF Geral'!$AC27</f>
        <v>2.7110396367064388E-2</v>
      </c>
      <c r="R27" s="21">
        <f>'UF Geral'!R27/'UF Geral'!$AC27</f>
        <v>6.4814895374624149E-3</v>
      </c>
      <c r="S27" s="21">
        <f>'UF Geral'!S27/'UF Geral'!$AC27</f>
        <v>6.4142490950934342E-2</v>
      </c>
      <c r="T27" s="21">
        <f>'UF Geral'!T27/'UF Geral'!$AC27</f>
        <v>9.3188857110003673E-2</v>
      </c>
      <c r="U27" s="21">
        <f>'UF Geral'!U27/'UF Geral'!$AC27</f>
        <v>1.0816669798048227E-2</v>
      </c>
      <c r="V27" s="21">
        <f>'UF Geral'!V27/'UF Geral'!$AC27</f>
        <v>6.8740683747941581E-3</v>
      </c>
      <c r="W27" s="21">
        <f>'UF Geral'!W27/'UF Geral'!$AC27</f>
        <v>1.5335147575076147E-3</v>
      </c>
      <c r="X27" s="21">
        <f>'UF Geral'!X27/'UF Geral'!$AC27</f>
        <v>5.5253208059259061E-2</v>
      </c>
      <c r="Y27" s="21">
        <f>'UF Geral'!Y27/'UF Geral'!$AC27</f>
        <v>4.4728826667801647E-2</v>
      </c>
      <c r="Z27" s="21">
        <f>'UF Geral'!Z27/'UF Geral'!$AC27</f>
        <v>5.3467850274029199E-3</v>
      </c>
      <c r="AA27" s="21">
        <f>'UF Geral'!AA27/'UF Geral'!$AC27</f>
        <v>0.33113631056783666</v>
      </c>
      <c r="AB27" s="21">
        <f>'UF Geral'!AB27/'UF Geral'!$AC27</f>
        <v>7.4963863700013801E-3</v>
      </c>
      <c r="AC27" s="21">
        <f>'UF Geral'!AC27/'UF Geral'!$AC27</f>
        <v>1</v>
      </c>
    </row>
    <row r="28" spans="1:29" x14ac:dyDescent="0.35">
      <c r="A28" s="16">
        <f>'UF Geral'!A28</f>
        <v>46023</v>
      </c>
      <c r="B28" s="14">
        <f>'UF Geral'!B28/'UF Geral'!$AC28</f>
        <v>1.5697941651260923E-3</v>
      </c>
      <c r="C28" s="14">
        <f>'UF Geral'!C28/'UF Geral'!$AC28</f>
        <v>7.4310503573666135E-3</v>
      </c>
      <c r="D28" s="14">
        <f>'UF Geral'!D28/'UF Geral'!$AC28</f>
        <v>1.6401268278895959E-2</v>
      </c>
      <c r="E28" s="14">
        <f>'UF Geral'!E28/'UF Geral'!$AC28</f>
        <v>1.7897269216504024E-3</v>
      </c>
      <c r="F28" s="14">
        <f>'UF Geral'!F28/'UF Geral'!$AC28</f>
        <v>3.7220845766849094E-2</v>
      </c>
      <c r="G28" s="14">
        <f>'UF Geral'!G28/'UF Geral'!$AC28</f>
        <v>2.0969334332033834E-2</v>
      </c>
      <c r="H28" s="14">
        <f>'UF Geral'!H28/'UF Geral'!$AC28</f>
        <v>2.4753889940053855E-2</v>
      </c>
      <c r="I28" s="14">
        <f>'UF Geral'!I28/'UF Geral'!$AC28</f>
        <v>1.5206348532648198E-2</v>
      </c>
      <c r="J28" s="14">
        <f>'UF Geral'!J28/'UF Geral'!$AC28</f>
        <v>2.736667661830236E-2</v>
      </c>
      <c r="K28" s="14">
        <f>'UF Geral'!K28/'UF Geral'!$AC28</f>
        <v>1.2210729342357651E-2</v>
      </c>
      <c r="L28" s="14">
        <f>'UF Geral'!L28/'UF Geral'!$AC28</f>
        <v>9.8288117698750968E-2</v>
      </c>
      <c r="M28" s="14">
        <f>'UF Geral'!M28/'UF Geral'!$AC28</f>
        <v>1.4792286533797057E-2</v>
      </c>
      <c r="N28" s="14">
        <f>'UF Geral'!N28/'UF Geral'!$AC28</f>
        <v>1.9839164525618066E-2</v>
      </c>
      <c r="O28" s="14">
        <f>'UF Geral'!O28/'UF Geral'!$AC28</f>
        <v>2.0313153377535316E-2</v>
      </c>
      <c r="P28" s="14">
        <f>'UF Geral'!P28/'UF Geral'!$AC28</f>
        <v>1.0254605927284249E-2</v>
      </c>
      <c r="Q28" s="14">
        <f>'UF Geral'!Q28/'UF Geral'!$AC28</f>
        <v>2.3945661175260844E-2</v>
      </c>
      <c r="R28" s="14">
        <f>'UF Geral'!R28/'UF Geral'!$AC28</f>
        <v>6.412052700904473E-3</v>
      </c>
      <c r="S28" s="14">
        <f>'UF Geral'!S28/'UF Geral'!$AC28</f>
        <v>6.6596458600311284E-2</v>
      </c>
      <c r="T28" s="14">
        <f>'UF Geral'!T28/'UF Geral'!$AC28</f>
        <v>9.642544158976657E-2</v>
      </c>
      <c r="U28" s="14">
        <f>'UF Geral'!U28/'UF Geral'!$AC28</f>
        <v>1.0257740933682074E-2</v>
      </c>
      <c r="V28" s="14">
        <f>'UF Geral'!V28/'UF Geral'!$AC28</f>
        <v>7.4685498569713616E-3</v>
      </c>
      <c r="W28" s="14">
        <f>'UF Geral'!W28/'UF Geral'!$AC28</f>
        <v>1.2073391946699104E-3</v>
      </c>
      <c r="X28" s="14">
        <f>'UF Geral'!X28/'UF Geral'!$AC28</f>
        <v>5.7270055721121406E-2</v>
      </c>
      <c r="Y28" s="14">
        <f>'UF Geral'!Y28/'UF Geral'!$AC28</f>
        <v>4.6678557183240162E-2</v>
      </c>
      <c r="Z28" s="14">
        <f>'UF Geral'!Z28/'UF Geral'!$AC28</f>
        <v>4.602189392006505E-3</v>
      </c>
      <c r="AA28" s="14">
        <f>'UF Geral'!AA28/'UF Geral'!$AC28</f>
        <v>0.34292315713471988</v>
      </c>
      <c r="AB28" s="14">
        <f>'UF Geral'!AB28/'UF Geral'!$AC28</f>
        <v>7.8058041990758005E-3</v>
      </c>
      <c r="AC28" s="14">
        <f>'UF Geral'!AC28/'UF Geral'!$AC28</f>
        <v>1</v>
      </c>
    </row>
    <row r="29" spans="1:29" x14ac:dyDescent="0.35">
      <c r="A29" s="17">
        <f>'UF Geral'!A29</f>
        <v>46054</v>
      </c>
      <c r="B29" s="12">
        <f>'UF Geral'!B29/'UF Geral'!$AC29</f>
        <v>1.5603296877552213E-3</v>
      </c>
      <c r="C29" s="12">
        <f>'UF Geral'!C29/'UF Geral'!$AC29</f>
        <v>7.4000903744099733E-3</v>
      </c>
      <c r="D29" s="12">
        <f>'UF Geral'!D29/'UF Geral'!$AC29</f>
        <v>1.6518248357939892E-2</v>
      </c>
      <c r="E29" s="12">
        <f>'UF Geral'!E29/'UF Geral'!$AC29</f>
        <v>1.7742237398552341E-3</v>
      </c>
      <c r="F29" s="12">
        <f>'UF Geral'!F29/'UF Geral'!$AC29</f>
        <v>3.7068649975617984E-2</v>
      </c>
      <c r="G29" s="12">
        <f>'UF Geral'!G29/'UF Geral'!$AC29</f>
        <v>2.0805309913882009E-2</v>
      </c>
      <c r="H29" s="12">
        <f>'UF Geral'!H29/'UF Geral'!$AC29</f>
        <v>2.4650633753530622E-2</v>
      </c>
      <c r="I29" s="12">
        <f>'UF Geral'!I29/'UF Geral'!$AC29</f>
        <v>1.5084299771202516E-2</v>
      </c>
      <c r="J29" s="12">
        <f>'UF Geral'!J29/'UF Geral'!$AC29</f>
        <v>2.730106005129165E-2</v>
      </c>
      <c r="K29" s="12">
        <f>'UF Geral'!K29/'UF Geral'!$AC29</f>
        <v>1.2105282610795092E-2</v>
      </c>
      <c r="L29" s="12">
        <f>'UF Geral'!L29/'UF Geral'!$AC29</f>
        <v>9.8424647653067188E-2</v>
      </c>
      <c r="M29" s="12">
        <f>'UF Geral'!M29/'UF Geral'!$AC29</f>
        <v>1.4851567781403617E-2</v>
      </c>
      <c r="N29" s="12">
        <f>'UF Geral'!N29/'UF Geral'!$AC29</f>
        <v>2.0306939157038056E-2</v>
      </c>
      <c r="O29" s="12">
        <f>'UF Geral'!O29/'UF Geral'!$AC29</f>
        <v>2.0196772989735708E-2</v>
      </c>
      <c r="P29" s="12">
        <f>'UF Geral'!P29/'UF Geral'!$AC29</f>
        <v>1.0192874251996761E-2</v>
      </c>
      <c r="Q29" s="12">
        <f>'UF Geral'!Q29/'UF Geral'!$AC29</f>
        <v>2.3918815642165029E-2</v>
      </c>
      <c r="R29" s="12">
        <f>'UF Geral'!R29/'UF Geral'!$AC29</f>
        <v>6.4051372725289213E-3</v>
      </c>
      <c r="S29" s="12">
        <f>'UF Geral'!S29/'UF Geral'!$AC29</f>
        <v>6.6795750256637088E-2</v>
      </c>
      <c r="T29" s="12">
        <f>'UF Geral'!T29/'UF Geral'!$AC29</f>
        <v>9.6580318170383192E-2</v>
      </c>
      <c r="U29" s="12">
        <f>'UF Geral'!U29/'UF Geral'!$AC29</f>
        <v>1.027764497164175E-2</v>
      </c>
      <c r="V29" s="12">
        <f>'UF Geral'!V29/'UF Geral'!$AC29</f>
        <v>7.4355009281857273E-3</v>
      </c>
      <c r="W29" s="12">
        <f>'UF Geral'!W29/'UF Geral'!$AC29</f>
        <v>1.2012165969384773E-3</v>
      </c>
      <c r="X29" s="12">
        <f>'UF Geral'!X29/'UF Geral'!$AC29</f>
        <v>5.7425187753432853E-2</v>
      </c>
      <c r="Y29" s="12">
        <f>'UF Geral'!Y29/'UF Geral'!$AC29</f>
        <v>4.6893826760125094E-2</v>
      </c>
      <c r="Z29" s="12">
        <f>'UF Geral'!Z29/'UF Geral'!$AC29</f>
        <v>4.571180578324687E-3</v>
      </c>
      <c r="AA29" s="12">
        <f>'UF Geral'!AA29/'UF Geral'!$AC29</f>
        <v>0.34246953440487021</v>
      </c>
      <c r="AB29" s="12">
        <f>'UF Geral'!AB29/'UF Geral'!$AC29</f>
        <v>7.7849565952454475E-3</v>
      </c>
      <c r="AC29" s="12">
        <f>'UF Geral'!AC29/'UF Geral'!$AC29</f>
        <v>1</v>
      </c>
    </row>
    <row r="30" spans="1:29" x14ac:dyDescent="0.35">
      <c r="A30" s="17">
        <f>'UF Geral'!A30</f>
        <v>46082</v>
      </c>
      <c r="B30" s="12">
        <f>'UF Geral'!B30/'UF Geral'!$AC30</f>
        <v>1.5620673015536103E-3</v>
      </c>
      <c r="C30" s="12">
        <f>'UF Geral'!C30/'UF Geral'!$AC30</f>
        <v>7.1594751321207139E-3</v>
      </c>
      <c r="D30" s="12">
        <f>'UF Geral'!D30/'UF Geral'!$AC30</f>
        <v>1.6546447812999177E-2</v>
      </c>
      <c r="E30" s="12">
        <f>'UF Geral'!E30/'UF Geral'!$AC30</f>
        <v>1.7676897488918774E-3</v>
      </c>
      <c r="F30" s="12">
        <f>'UF Geral'!F30/'UF Geral'!$AC30</f>
        <v>3.6886487644057123E-2</v>
      </c>
      <c r="G30" s="12">
        <f>'UF Geral'!G30/'UF Geral'!$AC30</f>
        <v>2.0974200305164559E-2</v>
      </c>
      <c r="H30" s="12">
        <f>'UF Geral'!H30/'UF Geral'!$AC30</f>
        <v>2.464816175190325E-2</v>
      </c>
      <c r="I30" s="12">
        <f>'UF Geral'!I30/'UF Geral'!$AC30</f>
        <v>1.5057224869229571E-2</v>
      </c>
      <c r="J30" s="12">
        <f>'UF Geral'!J30/'UF Geral'!$AC30</f>
        <v>2.7399428000044537E-2</v>
      </c>
      <c r="K30" s="12">
        <f>'UF Geral'!K30/'UF Geral'!$AC30</f>
        <v>1.2117392413621397E-2</v>
      </c>
      <c r="L30" s="12">
        <f>'UF Geral'!L30/'UF Geral'!$AC30</f>
        <v>9.8674019485332706E-2</v>
      </c>
      <c r="M30" s="12">
        <f>'UF Geral'!M30/'UF Geral'!$AC30</f>
        <v>1.4924920564116182E-2</v>
      </c>
      <c r="N30" s="12">
        <f>'UF Geral'!N30/'UF Geral'!$AC30</f>
        <v>2.029124003364817E-2</v>
      </c>
      <c r="O30" s="12">
        <f>'UF Geral'!O30/'UF Geral'!$AC30</f>
        <v>2.0315995270683711E-2</v>
      </c>
      <c r="P30" s="12">
        <f>'UF Geral'!P30/'UF Geral'!$AC30</f>
        <v>1.0235994398920339E-2</v>
      </c>
      <c r="Q30" s="12">
        <f>'UF Geral'!Q30/'UF Geral'!$AC30</f>
        <v>2.3751643143663997E-2</v>
      </c>
      <c r="R30" s="12">
        <f>'UF Geral'!R30/'UF Geral'!$AC30</f>
        <v>6.4365985214608953E-3</v>
      </c>
      <c r="S30" s="12">
        <f>'UF Geral'!S30/'UF Geral'!$AC30</f>
        <v>6.687100199960723E-2</v>
      </c>
      <c r="T30" s="12">
        <f>'UF Geral'!T30/'UF Geral'!$AC30</f>
        <v>9.6428399681711616E-2</v>
      </c>
      <c r="U30" s="12">
        <f>'UF Geral'!U30/'UF Geral'!$AC30</f>
        <v>1.0256367129877817E-2</v>
      </c>
      <c r="V30" s="12">
        <f>'UF Geral'!V30/'UF Geral'!$AC30</f>
        <v>7.4663690036952815E-3</v>
      </c>
      <c r="W30" s="12">
        <f>'UF Geral'!W30/'UF Geral'!$AC30</f>
        <v>1.2021095726014249E-3</v>
      </c>
      <c r="X30" s="12">
        <f>'UF Geral'!X30/'UF Geral'!$AC30</f>
        <v>5.7740465147350511E-2</v>
      </c>
      <c r="Y30" s="12">
        <f>'UF Geral'!Y30/'UF Geral'!$AC30</f>
        <v>4.7222213667780927E-2</v>
      </c>
      <c r="Z30" s="12">
        <f>'UF Geral'!Z30/'UF Geral'!$AC30</f>
        <v>4.5450141412810988E-3</v>
      </c>
      <c r="AA30" s="12">
        <f>'UF Geral'!AA30/'UF Geral'!$AC30</f>
        <v>0.34161777013826689</v>
      </c>
      <c r="AB30" s="12">
        <f>'UF Geral'!AB30/'UF Geral'!$AC30</f>
        <v>7.9013031204153948E-3</v>
      </c>
      <c r="AC30" s="12">
        <f>'UF Geral'!AC30/'UF Geral'!$AC30</f>
        <v>1</v>
      </c>
    </row>
    <row r="31" spans="1:29" x14ac:dyDescent="0.35">
      <c r="A31" s="17">
        <f>'UF Geral'!A31</f>
        <v>46113</v>
      </c>
      <c r="B31" s="12">
        <f>'UF Geral'!B31/'UF Geral'!$AC31</f>
        <v>1.5569070650846989E-3</v>
      </c>
      <c r="C31" s="12">
        <f>'UF Geral'!C31/'UF Geral'!$AC31</f>
        <v>7.1857068657255061E-3</v>
      </c>
      <c r="D31" s="12">
        <f>'UF Geral'!D31/'UF Geral'!$AC31</f>
        <v>1.6509550457457309E-2</v>
      </c>
      <c r="E31" s="12">
        <f>'UF Geral'!E31/'UF Geral'!$AC31</f>
        <v>1.7602318536145997E-3</v>
      </c>
      <c r="F31" s="12">
        <f>'UF Geral'!F31/'UF Geral'!$AC31</f>
        <v>3.671836841771195E-2</v>
      </c>
      <c r="G31" s="12">
        <f>'UF Geral'!G31/'UF Geral'!$AC31</f>
        <v>2.1054146928147274E-2</v>
      </c>
      <c r="H31" s="12">
        <f>'UF Geral'!H31/'UF Geral'!$AC31</f>
        <v>2.4581884805537382E-2</v>
      </c>
      <c r="I31" s="12">
        <f>'UF Geral'!I31/'UF Geral'!$AC31</f>
        <v>1.5059644088933066E-2</v>
      </c>
      <c r="J31" s="12">
        <f>'UF Geral'!J31/'UF Geral'!$AC31</f>
        <v>2.7443918787879214E-2</v>
      </c>
      <c r="K31" s="12">
        <f>'UF Geral'!K31/'UF Geral'!$AC31</f>
        <v>1.2206292180654251E-2</v>
      </c>
      <c r="L31" s="12">
        <f>'UF Geral'!L31/'UF Geral'!$AC31</f>
        <v>9.8680219149628393E-2</v>
      </c>
      <c r="M31" s="12">
        <f>'UF Geral'!M31/'UF Geral'!$AC31</f>
        <v>1.4942788065057831E-2</v>
      </c>
      <c r="N31" s="12">
        <f>'UF Geral'!N31/'UF Geral'!$AC31</f>
        <v>2.0449452202190486E-2</v>
      </c>
      <c r="O31" s="12">
        <f>'UF Geral'!O31/'UF Geral'!$AC31</f>
        <v>2.0374246668752712E-2</v>
      </c>
      <c r="P31" s="12">
        <f>'UF Geral'!P31/'UF Geral'!$AC31</f>
        <v>1.0164948847918104E-2</v>
      </c>
      <c r="Q31" s="12">
        <f>'UF Geral'!Q31/'UF Geral'!$AC31</f>
        <v>2.3652785555469125E-2</v>
      </c>
      <c r="R31" s="12">
        <f>'UF Geral'!R31/'UF Geral'!$AC31</f>
        <v>6.448903823620615E-3</v>
      </c>
      <c r="S31" s="12">
        <f>'UF Geral'!S31/'UF Geral'!$AC31</f>
        <v>6.6965423874694674E-2</v>
      </c>
      <c r="T31" s="12">
        <f>'UF Geral'!T31/'UF Geral'!$AC31</f>
        <v>9.6017286244110128E-2</v>
      </c>
      <c r="U31" s="12">
        <f>'UF Geral'!U31/'UF Geral'!$AC31</f>
        <v>1.0261507590537899E-2</v>
      </c>
      <c r="V31" s="12">
        <f>'UF Geral'!V31/'UF Geral'!$AC31</f>
        <v>7.4143739244934099E-3</v>
      </c>
      <c r="W31" s="12">
        <f>'UF Geral'!W31/'UF Geral'!$AC31</f>
        <v>1.2066909694345236E-3</v>
      </c>
      <c r="X31" s="12">
        <f>'UF Geral'!X31/'UF Geral'!$AC31</f>
        <v>5.8067001912050824E-2</v>
      </c>
      <c r="Y31" s="12">
        <f>'UF Geral'!Y31/'UF Geral'!$AC31</f>
        <v>4.7504320211786293E-2</v>
      </c>
      <c r="Z31" s="12">
        <f>'UF Geral'!Z31/'UF Geral'!$AC31</f>
        <v>4.5454177479661946E-3</v>
      </c>
      <c r="AA31" s="12">
        <f>'UF Geral'!AA31/'UF Geral'!$AC31</f>
        <v>0.34128611317505914</v>
      </c>
      <c r="AB31" s="12">
        <f>'UF Geral'!AB31/'UF Geral'!$AC31</f>
        <v>7.9418685864844282E-3</v>
      </c>
      <c r="AC31" s="12">
        <f>'UF Geral'!AC31/'UF Geral'!$AC31</f>
        <v>1</v>
      </c>
    </row>
    <row r="32" spans="1:29" x14ac:dyDescent="0.35">
      <c r="A32" s="17">
        <f>'UF Geral'!A32</f>
        <v>46143</v>
      </c>
      <c r="B32" s="12">
        <f>'UF Geral'!B32/'UF Geral'!$AC32</f>
        <v>1.5546178865332931E-3</v>
      </c>
      <c r="C32" s="12">
        <f>'UF Geral'!C32/'UF Geral'!$AC32</f>
        <v>6.6452133983186997E-3</v>
      </c>
      <c r="D32" s="12">
        <f>'UF Geral'!D32/'UF Geral'!$AC32</f>
        <v>1.6503055091662076E-2</v>
      </c>
      <c r="E32" s="12">
        <f>'UF Geral'!E32/'UF Geral'!$AC32</f>
        <v>1.7588385161506229E-3</v>
      </c>
      <c r="F32" s="12">
        <f>'UF Geral'!F32/'UF Geral'!$AC32</f>
        <v>3.6630210409027579E-2</v>
      </c>
      <c r="G32" s="12">
        <f>'UF Geral'!G32/'UF Geral'!$AC32</f>
        <v>2.1044166557776196E-2</v>
      </c>
      <c r="H32" s="12">
        <f>'UF Geral'!H32/'UF Geral'!$AC32</f>
        <v>2.464751834051622E-2</v>
      </c>
      <c r="I32" s="12">
        <f>'UF Geral'!I32/'UF Geral'!$AC32</f>
        <v>1.4953449469440166E-2</v>
      </c>
      <c r="J32" s="12">
        <f>'UF Geral'!J32/'UF Geral'!$AC32</f>
        <v>2.7600557969925714E-2</v>
      </c>
      <c r="K32" s="12">
        <f>'UF Geral'!K32/'UF Geral'!$AC32</f>
        <v>1.2178170376655344E-2</v>
      </c>
      <c r="L32" s="12">
        <f>'UF Geral'!L32/'UF Geral'!$AC32</f>
        <v>9.8646607040925843E-2</v>
      </c>
      <c r="M32" s="12">
        <f>'UF Geral'!M32/'UF Geral'!$AC32</f>
        <v>1.5012780691172598E-2</v>
      </c>
      <c r="N32" s="12">
        <f>'UF Geral'!N32/'UF Geral'!$AC32</f>
        <v>2.0518228497939786E-2</v>
      </c>
      <c r="O32" s="12">
        <f>'UF Geral'!O32/'UF Geral'!$AC32</f>
        <v>2.03766028900716E-2</v>
      </c>
      <c r="P32" s="12">
        <f>'UF Geral'!P32/'UF Geral'!$AC32</f>
        <v>1.0103092951742269E-2</v>
      </c>
      <c r="Q32" s="12">
        <f>'UF Geral'!Q32/'UF Geral'!$AC32</f>
        <v>2.3720366007196445E-2</v>
      </c>
      <c r="R32" s="12">
        <f>'UF Geral'!R32/'UF Geral'!$AC32</f>
        <v>6.4158148828581379E-3</v>
      </c>
      <c r="S32" s="12">
        <f>'UF Geral'!S32/'UF Geral'!$AC32</f>
        <v>6.701432353606622E-2</v>
      </c>
      <c r="T32" s="12">
        <f>'UF Geral'!T32/'UF Geral'!$AC32</f>
        <v>9.5841604055131646E-2</v>
      </c>
      <c r="U32" s="12">
        <f>'UF Geral'!U32/'UF Geral'!$AC32</f>
        <v>1.0252644931079618E-2</v>
      </c>
      <c r="V32" s="12">
        <f>'UF Geral'!V32/'UF Geral'!$AC32</f>
        <v>7.4552186238956552E-3</v>
      </c>
      <c r="W32" s="12">
        <f>'UF Geral'!W32/'UF Geral'!$AC32</f>
        <v>1.2086550847614692E-3</v>
      </c>
      <c r="X32" s="12">
        <f>'UF Geral'!X32/'UF Geral'!$AC32</f>
        <v>5.8190523626590038E-2</v>
      </c>
      <c r="Y32" s="12">
        <f>'UF Geral'!Y32/'UF Geral'!$AC32</f>
        <v>4.7920277488277423E-2</v>
      </c>
      <c r="Z32" s="12">
        <f>'UF Geral'!Z32/'UF Geral'!$AC32</f>
        <v>4.5256084160347227E-3</v>
      </c>
      <c r="AA32" s="12">
        <f>'UF Geral'!AA32/'UF Geral'!$AC32</f>
        <v>0.34119357399739852</v>
      </c>
      <c r="AB32" s="12">
        <f>'UF Geral'!AB32/'UF Geral'!$AC32</f>
        <v>8.0882792628521154E-3</v>
      </c>
      <c r="AC32" s="12">
        <f>'UF Geral'!AC32/'UF Geral'!$AC32</f>
        <v>1</v>
      </c>
    </row>
    <row r="33" spans="1:29" x14ac:dyDescent="0.35">
      <c r="A33" s="17">
        <f>'UF Geral'!A33</f>
        <v>46174</v>
      </c>
      <c r="B33" s="12">
        <f>'UF Geral'!B33/'UF Geral'!$AC33</f>
        <v>1.5407885871810258E-3</v>
      </c>
      <c r="C33" s="12">
        <f>'UF Geral'!C33/'UF Geral'!$AC33</f>
        <v>6.6083631559144956E-3</v>
      </c>
      <c r="D33" s="12">
        <f>'UF Geral'!D33/'UF Geral'!$AC33</f>
        <v>1.6408598298005988E-2</v>
      </c>
      <c r="E33" s="12">
        <f>'UF Geral'!E33/'UF Geral'!$AC33</f>
        <v>1.7410001505904112E-3</v>
      </c>
      <c r="F33" s="12">
        <f>'UF Geral'!F33/'UF Geral'!$AC33</f>
        <v>3.6644933139239028E-2</v>
      </c>
      <c r="G33" s="12">
        <f>'UF Geral'!G33/'UF Geral'!$AC33</f>
        <v>2.0935866445186701E-2</v>
      </c>
      <c r="H33" s="12">
        <f>'UF Geral'!H33/'UF Geral'!$AC33</f>
        <v>2.4559476995357488E-2</v>
      </c>
      <c r="I33" s="12">
        <f>'UF Geral'!I33/'UF Geral'!$AC33</f>
        <v>1.5015521864852704E-2</v>
      </c>
      <c r="J33" s="12">
        <f>'UF Geral'!J33/'UF Geral'!$AC33</f>
        <v>2.7559772189404974E-2</v>
      </c>
      <c r="K33" s="12">
        <f>'UF Geral'!K33/'UF Geral'!$AC33</f>
        <v>1.3066251030991691E-2</v>
      </c>
      <c r="L33" s="12">
        <f>'UF Geral'!L33/'UF Geral'!$AC33</f>
        <v>9.9655161774166889E-2</v>
      </c>
      <c r="M33" s="12">
        <f>'UF Geral'!M33/'UF Geral'!$AC33</f>
        <v>1.5031524974291407E-2</v>
      </c>
      <c r="N33" s="12">
        <f>'UF Geral'!N33/'UF Geral'!$AC33</f>
        <v>2.052715393793925E-2</v>
      </c>
      <c r="O33" s="12">
        <f>'UF Geral'!O33/'UF Geral'!$AC33</f>
        <v>2.0317962212398795E-2</v>
      </c>
      <c r="P33" s="12">
        <f>'UF Geral'!P33/'UF Geral'!$AC33</f>
        <v>1.0053636896584913E-2</v>
      </c>
      <c r="Q33" s="12">
        <f>'UF Geral'!Q33/'UF Geral'!$AC33</f>
        <v>2.3652941141254265E-2</v>
      </c>
      <c r="R33" s="12">
        <f>'UF Geral'!R33/'UF Geral'!$AC33</f>
        <v>6.379714412423387E-3</v>
      </c>
      <c r="S33" s="12">
        <f>'UF Geral'!S33/'UF Geral'!$AC33</f>
        <v>6.7100116834211937E-2</v>
      </c>
      <c r="T33" s="12">
        <f>'UF Geral'!T33/'UF Geral'!$AC33</f>
        <v>9.5240951565610674E-2</v>
      </c>
      <c r="U33" s="12">
        <f>'UF Geral'!U33/'UF Geral'!$AC33</f>
        <v>1.0153800243431472E-2</v>
      </c>
      <c r="V33" s="12">
        <f>'UF Geral'!V33/'UF Geral'!$AC33</f>
        <v>7.3837656168473367E-3</v>
      </c>
      <c r="W33" s="12">
        <f>'UF Geral'!W33/'UF Geral'!$AC33</f>
        <v>1.2029963347122872E-3</v>
      </c>
      <c r="X33" s="12">
        <f>'UF Geral'!X33/'UF Geral'!$AC33</f>
        <v>5.8040514807366314E-2</v>
      </c>
      <c r="Y33" s="12">
        <f>'UF Geral'!Y33/'UF Geral'!$AC33</f>
        <v>4.8089689254153786E-2</v>
      </c>
      <c r="Z33" s="12">
        <f>'UF Geral'!Z33/'UF Geral'!$AC33</f>
        <v>4.5181728547659099E-3</v>
      </c>
      <c r="AA33" s="12">
        <f>'UF Geral'!AA33/'UF Geral'!$AC33</f>
        <v>0.34043760099804138</v>
      </c>
      <c r="AB33" s="12">
        <f>'UF Geral'!AB33/'UF Geral'!$AC33</f>
        <v>8.1337242850754773E-3</v>
      </c>
      <c r="AC33" s="12">
        <f>'UF Geral'!AC33/'UF Geral'!$AC33</f>
        <v>1</v>
      </c>
    </row>
    <row r="34" spans="1:29" x14ac:dyDescent="0.35">
      <c r="A34" s="17">
        <f>'UF Geral'!A34</f>
        <v>46204</v>
      </c>
      <c r="B34" s="12">
        <f>'UF Geral'!B34/'UF Geral'!$AC34</f>
        <v>1.5293922125298909E-3</v>
      </c>
      <c r="C34" s="12">
        <f>'UF Geral'!C34/'UF Geral'!$AC34</f>
        <v>6.5790648388129114E-3</v>
      </c>
      <c r="D34" s="12">
        <f>'UF Geral'!D34/'UF Geral'!$AC34</f>
        <v>1.641298122288196E-2</v>
      </c>
      <c r="E34" s="12">
        <f>'UF Geral'!E34/'UF Geral'!$AC34</f>
        <v>1.7303810409389979E-3</v>
      </c>
      <c r="F34" s="12">
        <f>'UF Geral'!F34/'UF Geral'!$AC34</f>
        <v>3.655215339613891E-2</v>
      </c>
      <c r="G34" s="12">
        <f>'UF Geral'!G34/'UF Geral'!$AC34</f>
        <v>2.0868500655388401E-2</v>
      </c>
      <c r="H34" s="12">
        <f>'UF Geral'!H34/'UF Geral'!$AC34</f>
        <v>2.4539293773787302E-2</v>
      </c>
      <c r="I34" s="12">
        <f>'UF Geral'!I34/'UF Geral'!$AC34</f>
        <v>1.5005372674035036E-2</v>
      </c>
      <c r="J34" s="12">
        <f>'UF Geral'!J34/'UF Geral'!$AC34</f>
        <v>2.76138734484601E-2</v>
      </c>
      <c r="K34" s="12">
        <f>'UF Geral'!K34/'UF Geral'!$AC34</f>
        <v>1.2985068681865818E-2</v>
      </c>
      <c r="L34" s="12">
        <f>'UF Geral'!L34/'UF Geral'!$AC34</f>
        <v>9.9893965802597837E-2</v>
      </c>
      <c r="M34" s="12">
        <f>'UF Geral'!M34/'UF Geral'!$AC34</f>
        <v>1.5042113798134879E-2</v>
      </c>
      <c r="N34" s="12">
        <f>'UF Geral'!N34/'UF Geral'!$AC34</f>
        <v>2.0537372705167704E-2</v>
      </c>
      <c r="O34" s="12">
        <f>'UF Geral'!O34/'UF Geral'!$AC34</f>
        <v>2.0234401504257163E-2</v>
      </c>
      <c r="P34" s="12">
        <f>'UF Geral'!P34/'UF Geral'!$AC34</f>
        <v>1.0006977379829054E-2</v>
      </c>
      <c r="Q34" s="12">
        <f>'UF Geral'!Q34/'UF Geral'!$AC34</f>
        <v>2.360188004675394E-2</v>
      </c>
      <c r="R34" s="12">
        <f>'UF Geral'!R34/'UF Geral'!$AC34</f>
        <v>6.3411059696429038E-3</v>
      </c>
      <c r="S34" s="12">
        <f>'UF Geral'!S34/'UF Geral'!$AC34</f>
        <v>6.7319353850675834E-2</v>
      </c>
      <c r="T34" s="12">
        <f>'UF Geral'!T34/'UF Geral'!$AC34</f>
        <v>9.420939281686988E-2</v>
      </c>
      <c r="U34" s="12">
        <f>'UF Geral'!U34/'UF Geral'!$AC34</f>
        <v>1.0116514002145407E-2</v>
      </c>
      <c r="V34" s="12">
        <f>'UF Geral'!V34/'UF Geral'!$AC34</f>
        <v>7.4021346936477004E-3</v>
      </c>
      <c r="W34" s="12">
        <f>'UF Geral'!W34/'UF Geral'!$AC34</f>
        <v>1.1995233039450125E-3</v>
      </c>
      <c r="X34" s="12">
        <f>'UF Geral'!X34/'UF Geral'!$AC34</f>
        <v>5.8315260362942788E-2</v>
      </c>
      <c r="Y34" s="12">
        <f>'UF Geral'!Y34/'UF Geral'!$AC34</f>
        <v>4.8564097351846282E-2</v>
      </c>
      <c r="Z34" s="12">
        <f>'UF Geral'!Z34/'UF Geral'!$AC34</f>
        <v>4.5387306388010992E-3</v>
      </c>
      <c r="AA34" s="12">
        <f>'UF Geral'!AA34/'UF Geral'!$AC34</f>
        <v>0.34067182919520683</v>
      </c>
      <c r="AB34" s="12">
        <f>'UF Geral'!AB34/'UF Geral'!$AC34</f>
        <v>8.1892646326963501E-3</v>
      </c>
      <c r="AC34" s="12">
        <f>'UF Geral'!AC34/'UF Geral'!$AC34</f>
        <v>1</v>
      </c>
    </row>
    <row r="35" spans="1:29" x14ac:dyDescent="0.35">
      <c r="A35" s="17">
        <f>'UF Geral'!A35</f>
        <v>46235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x14ac:dyDescent="0.35">
      <c r="A36" s="17">
        <f>'UF Geral'!A36</f>
        <v>46266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x14ac:dyDescent="0.35">
      <c r="A37" s="17">
        <f>'UF Geral'!A37</f>
        <v>46296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x14ac:dyDescent="0.35">
      <c r="A38" s="17">
        <f>'UF Geral'!A38</f>
        <v>46327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x14ac:dyDescent="0.35">
      <c r="A39" s="19">
        <f>'UF Geral'!A39</f>
        <v>46357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</sheetData>
  <mergeCells count="1">
    <mergeCell ref="A2:A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9"/>
  <sheetViews>
    <sheetView showGridLines="0" workbookViewId="0">
      <pane xSplit="1" ySplit="3" topLeftCell="O28" activePane="bottomRight" state="frozen"/>
      <selection pane="topRight"/>
      <selection pane="bottomLeft"/>
      <selection pane="bottomRight" activeCell="A2" sqref="A2:AC2"/>
    </sheetView>
  </sheetViews>
  <sheetFormatPr defaultRowHeight="14.5" x14ac:dyDescent="0.35"/>
  <cols>
    <col min="1" max="1" width="16.26953125" customWidth="1"/>
    <col min="29" max="29" width="10.7265625" customWidth="1"/>
  </cols>
  <sheetData>
    <row r="1" spans="1:31" ht="45.5" customHeight="1" x14ac:dyDescent="0.35"/>
    <row r="2" spans="1:31" x14ac:dyDescent="0.35">
      <c r="A2" s="38" t="s">
        <v>50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31" x14ac:dyDescent="0.35">
      <c r="A3" s="18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 t="s">
        <v>23</v>
      </c>
      <c r="L3" s="18" t="s">
        <v>24</v>
      </c>
      <c r="M3" s="18" t="s">
        <v>25</v>
      </c>
      <c r="N3" s="18" t="s">
        <v>26</v>
      </c>
      <c r="O3" s="18" t="s">
        <v>27</v>
      </c>
      <c r="P3" s="18" t="s">
        <v>28</v>
      </c>
      <c r="Q3" s="18" t="s">
        <v>29</v>
      </c>
      <c r="R3" s="18" t="s">
        <v>30</v>
      </c>
      <c r="S3" s="18" t="s">
        <v>31</v>
      </c>
      <c r="T3" s="18" t="s">
        <v>32</v>
      </c>
      <c r="U3" s="18" t="s">
        <v>33</v>
      </c>
      <c r="V3" s="18" t="s">
        <v>34</v>
      </c>
      <c r="W3" s="18" t="s">
        <v>35</v>
      </c>
      <c r="X3" s="18" t="s">
        <v>36</v>
      </c>
      <c r="Y3" s="18" t="s">
        <v>37</v>
      </c>
      <c r="Z3" s="18" t="s">
        <v>38</v>
      </c>
      <c r="AA3" s="18" t="s">
        <v>39</v>
      </c>
      <c r="AB3" s="18" t="s">
        <v>40</v>
      </c>
      <c r="AC3" s="18" t="s">
        <v>41</v>
      </c>
    </row>
    <row r="4" spans="1:31" x14ac:dyDescent="0.35">
      <c r="A4" s="16">
        <f>'UF Geral'!A4</f>
        <v>45292</v>
      </c>
      <c r="B4" s="14" t="s">
        <v>42</v>
      </c>
      <c r="C4" s="14" t="s">
        <v>42</v>
      </c>
      <c r="D4" s="14" t="s">
        <v>42</v>
      </c>
      <c r="E4" s="14" t="s">
        <v>42</v>
      </c>
      <c r="F4" s="14" t="s">
        <v>42</v>
      </c>
      <c r="G4" s="14" t="s">
        <v>42</v>
      </c>
      <c r="H4" s="14" t="s">
        <v>42</v>
      </c>
      <c r="I4" s="14" t="s">
        <v>42</v>
      </c>
      <c r="J4" s="14" t="s">
        <v>42</v>
      </c>
      <c r="K4" s="14" t="s">
        <v>42</v>
      </c>
      <c r="L4" s="14" t="s">
        <v>42</v>
      </c>
      <c r="M4" s="14" t="s">
        <v>42</v>
      </c>
      <c r="N4" s="14" t="s">
        <v>42</v>
      </c>
      <c r="O4" s="14" t="s">
        <v>42</v>
      </c>
      <c r="P4" s="14" t="s">
        <v>42</v>
      </c>
      <c r="Q4" s="14" t="s">
        <v>42</v>
      </c>
      <c r="R4" s="14" t="s">
        <v>42</v>
      </c>
      <c r="S4" s="14" t="s">
        <v>42</v>
      </c>
      <c r="T4" s="14" t="s">
        <v>42</v>
      </c>
      <c r="U4" s="14" t="s">
        <v>42</v>
      </c>
      <c r="V4" s="14" t="s">
        <v>42</v>
      </c>
      <c r="W4" s="14" t="s">
        <v>42</v>
      </c>
      <c r="X4" s="14" t="s">
        <v>42</v>
      </c>
      <c r="Y4" s="14" t="s">
        <v>42</v>
      </c>
      <c r="Z4" s="14" t="s">
        <v>42</v>
      </c>
      <c r="AA4" s="14" t="s">
        <v>42</v>
      </c>
      <c r="AB4" s="14" t="s">
        <v>42</v>
      </c>
      <c r="AC4" s="15" t="s">
        <v>42</v>
      </c>
      <c r="AD4" s="27"/>
      <c r="AE4" s="26"/>
    </row>
    <row r="5" spans="1:31" x14ac:dyDescent="0.35">
      <c r="A5" s="17">
        <f>'UF Geral'!A5</f>
        <v>45323</v>
      </c>
      <c r="B5" s="12">
        <f>'UF Geral'!B5/'UF Geral'!B4-1</f>
        <v>2.8663561447506147E-4</v>
      </c>
      <c r="C5" s="12">
        <f>'UF Geral'!C5/'UF Geral'!C4-1</f>
        <v>3.1814833005893828E-2</v>
      </c>
      <c r="D5" s="12">
        <f>'UF Geral'!D5/'UF Geral'!D4-1</f>
        <v>-2.997457133521797E-2</v>
      </c>
      <c r="E5" s="12">
        <f>'UF Geral'!E5/'UF Geral'!E4-1</f>
        <v>2.6536027760768466E-3</v>
      </c>
      <c r="F5" s="12">
        <f>'UF Geral'!F5/'UF Geral'!F4-1</f>
        <v>9.6813298684599314E-3</v>
      </c>
      <c r="G5" s="12">
        <f>'UF Geral'!G5/'UF Geral'!G4-1</f>
        <v>-5.3256916417890876E-3</v>
      </c>
      <c r="H5" s="12">
        <f>'UF Geral'!H5/'UF Geral'!H4-1</f>
        <v>4.804330478705543E-3</v>
      </c>
      <c r="I5" s="12">
        <f>'UF Geral'!I5/'UF Geral'!I4-1</f>
        <v>1.3269363762102415E-2</v>
      </c>
      <c r="J5" s="12">
        <f>'UF Geral'!J5/'UF Geral'!J4-1</f>
        <v>-1.7599992569924394E-3</v>
      </c>
      <c r="K5" s="12">
        <f>'UF Geral'!K5/'UF Geral'!K4-1</f>
        <v>6.8517850703209149E-4</v>
      </c>
      <c r="L5" s="12">
        <f>'UF Geral'!L5/'UF Geral'!L4-1</f>
        <v>1.6308034860055276E-2</v>
      </c>
      <c r="M5" s="12">
        <f>'UF Geral'!M5/'UF Geral'!M4-1</f>
        <v>1.6042167984415823E-3</v>
      </c>
      <c r="N5" s="12">
        <f>'UF Geral'!N5/'UF Geral'!N4-1</f>
        <v>6.399629613035307E-3</v>
      </c>
      <c r="O5" s="12">
        <f>'UF Geral'!O5/'UF Geral'!O4-1</f>
        <v>4.9170037662156219E-3</v>
      </c>
      <c r="P5" s="12">
        <f>'UF Geral'!P5/'UF Geral'!P4-1</f>
        <v>7.3010269576379017E-3</v>
      </c>
      <c r="Q5" s="12">
        <f>'UF Geral'!Q5/'UF Geral'!Q4-1</f>
        <v>3.0871501974829574E-3</v>
      </c>
      <c r="R5" s="12">
        <f>'UF Geral'!R5/'UF Geral'!R4-1</f>
        <v>1.8272744758607296E-3</v>
      </c>
      <c r="S5" s="12">
        <f>'UF Geral'!S5/'UF Geral'!S4-1</f>
        <v>-1.4600976179550695E-3</v>
      </c>
      <c r="T5" s="12">
        <f>'UF Geral'!T5/'UF Geral'!T4-1</f>
        <v>-8.8359183094345317E-3</v>
      </c>
      <c r="U5" s="12">
        <f>'UF Geral'!U5/'UF Geral'!U4-1</f>
        <v>1.085086674606317E-2</v>
      </c>
      <c r="V5" s="12">
        <f>'UF Geral'!V5/'UF Geral'!V4-1</f>
        <v>1.9647137412071025E-4</v>
      </c>
      <c r="W5" s="12">
        <f>'UF Geral'!W5/'UF Geral'!W4-1</f>
        <v>3.9417496988940481E-3</v>
      </c>
      <c r="X5" s="12">
        <f>'UF Geral'!X5/'UF Geral'!X4-1</f>
        <v>1.7843560018986349E-3</v>
      </c>
      <c r="Y5" s="12">
        <f>'UF Geral'!Y5/'UF Geral'!Y4-1</f>
        <v>3.4659320320007403E-4</v>
      </c>
      <c r="Z5" s="12">
        <f>'UF Geral'!Z5/'UF Geral'!Z4-1</f>
        <v>3.2504956429526555E-3</v>
      </c>
      <c r="AA5" s="12">
        <f>'UF Geral'!AA5/'UF Geral'!AA4-1</f>
        <v>-1.3927353214785998E-2</v>
      </c>
      <c r="AB5" s="12">
        <f>'UF Geral'!AB5/'UF Geral'!AB4-1</f>
        <v>2.9138267413282293E-3</v>
      </c>
      <c r="AC5" s="13">
        <f>'UF Geral'!AC5/'UF Geral'!AC4-1</f>
        <v>-2.5226537808790139E-3</v>
      </c>
      <c r="AD5" s="27"/>
      <c r="AE5" s="26"/>
    </row>
    <row r="6" spans="1:31" x14ac:dyDescent="0.35">
      <c r="A6" s="17">
        <f>'UF Geral'!A6</f>
        <v>45352</v>
      </c>
      <c r="B6" s="12">
        <f>'UF Geral'!B6/'UF Geral'!B5-1</f>
        <v>4.0117486925996815E-3</v>
      </c>
      <c r="C6" s="12">
        <f>'UF Geral'!C6/'UF Geral'!C5-1</f>
        <v>2.0278230652973406E-2</v>
      </c>
      <c r="D6" s="12">
        <f>'UF Geral'!D6/'UF Geral'!D5-1</f>
        <v>6.0483575706984372E-3</v>
      </c>
      <c r="E6" s="12">
        <f>'UF Geral'!E6/'UF Geral'!E5-1</f>
        <v>1.1536373507057274E-3</v>
      </c>
      <c r="F6" s="12">
        <f>'UF Geral'!F6/'UF Geral'!F5-1</f>
        <v>9.5321169989419641E-3</v>
      </c>
      <c r="G6" s="12">
        <f>'UF Geral'!G6/'UF Geral'!G5-1</f>
        <v>1.5313966390823719E-2</v>
      </c>
      <c r="H6" s="12">
        <f>'UF Geral'!H6/'UF Geral'!H5-1</f>
        <v>3.3101088086719521E-2</v>
      </c>
      <c r="I6" s="12">
        <f>'UF Geral'!I6/'UF Geral'!I5-1</f>
        <v>1.0084033613445342E-2</v>
      </c>
      <c r="J6" s="12">
        <f>'UF Geral'!J6/'UF Geral'!J5-1</f>
        <v>-5.1613773597193879E-2</v>
      </c>
      <c r="K6" s="12">
        <f>'UF Geral'!K6/'UF Geral'!K5-1</f>
        <v>5.0992828570399773E-3</v>
      </c>
      <c r="L6" s="12">
        <f>'UF Geral'!L6/'UF Geral'!L5-1</f>
        <v>1.4562383931398637E-2</v>
      </c>
      <c r="M6" s="12">
        <f>'UF Geral'!M6/'UF Geral'!M5-1</f>
        <v>9.648018914693246E-3</v>
      </c>
      <c r="N6" s="12">
        <f>'UF Geral'!N6/'UF Geral'!N5-1</f>
        <v>1.8995184423948874E-3</v>
      </c>
      <c r="O6" s="12">
        <f>'UF Geral'!O6/'UF Geral'!O5-1</f>
        <v>8.8489433320608768E-3</v>
      </c>
      <c r="P6" s="12">
        <f>'UF Geral'!P6/'UF Geral'!P5-1</f>
        <v>7.3596176821983939E-3</v>
      </c>
      <c r="Q6" s="12">
        <f>'UF Geral'!Q6/'UF Geral'!Q5-1</f>
        <v>-2.46421643160466E-4</v>
      </c>
      <c r="R6" s="12">
        <f>'UF Geral'!R6/'UF Geral'!R5-1</f>
        <v>1.1375635979648635E-2</v>
      </c>
      <c r="S6" s="12">
        <f>'UF Geral'!S6/'UF Geral'!S5-1</f>
        <v>7.4610726643598024E-3</v>
      </c>
      <c r="T6" s="12">
        <f>'UF Geral'!T6/'UF Geral'!T5-1</f>
        <v>8.893215210439287E-4</v>
      </c>
      <c r="U6" s="12">
        <f>'UF Geral'!U6/'UF Geral'!U5-1</f>
        <v>3.6072202586143742E-3</v>
      </c>
      <c r="V6" s="12">
        <f>'UF Geral'!V6/'UF Geral'!V5-1</f>
        <v>5.5983342500196542E-3</v>
      </c>
      <c r="W6" s="12">
        <f>'UF Geral'!W6/'UF Geral'!W5-1</f>
        <v>7.5253571818083564E-3</v>
      </c>
      <c r="X6" s="12">
        <f>'UF Geral'!X6/'UF Geral'!X5-1</f>
        <v>9.8649844432392442E-3</v>
      </c>
      <c r="Y6" s="12">
        <f>'UF Geral'!Y6/'UF Geral'!Y5-1</f>
        <v>1.3069537511965823E-2</v>
      </c>
      <c r="Z6" s="12">
        <f>'UF Geral'!Z6/'UF Geral'!Z5-1</f>
        <v>1.2523265700039143E-2</v>
      </c>
      <c r="AA6" s="12">
        <f>'UF Geral'!AA6/'UF Geral'!AA5-1</f>
        <v>-1.9947683540130212E-3</v>
      </c>
      <c r="AB6" s="12">
        <f>'UF Geral'!AB6/'UF Geral'!AB5-1</f>
        <v>6.5433783032691206E-3</v>
      </c>
      <c r="AC6" s="13">
        <f>'UF Geral'!AC6/'UF Geral'!AC5-1</f>
        <v>3.4674550363009704E-3</v>
      </c>
      <c r="AD6" s="27"/>
      <c r="AE6" s="26"/>
    </row>
    <row r="7" spans="1:31" x14ac:dyDescent="0.35">
      <c r="A7" s="17">
        <f>'UF Geral'!A7</f>
        <v>45383</v>
      </c>
      <c r="B7" s="12">
        <f>'UF Geral'!B7/'UF Geral'!B6-1</f>
        <v>8.2054941134499515E-3</v>
      </c>
      <c r="C7" s="12">
        <f>'UF Geral'!C7/'UF Geral'!C6-1</f>
        <v>-4.4322622033008741E-2</v>
      </c>
      <c r="D7" s="12">
        <f>'UF Geral'!D7/'UF Geral'!D6-1</f>
        <v>5.147315709793876E-2</v>
      </c>
      <c r="E7" s="12">
        <f>'UF Geral'!E7/'UF Geral'!E6-1</f>
        <v>9.6251609842066266E-3</v>
      </c>
      <c r="F7" s="12">
        <f>'UF Geral'!F7/'UF Geral'!F6-1</f>
        <v>6.5050052401431913E-3</v>
      </c>
      <c r="G7" s="12">
        <f>'UF Geral'!G7/'UF Geral'!G6-1</f>
        <v>4.8586834152988256E-3</v>
      </c>
      <c r="H7" s="12">
        <f>'UF Geral'!H7/'UF Geral'!H6-1</f>
        <v>2.1983769733088243E-2</v>
      </c>
      <c r="I7" s="12">
        <f>'UF Geral'!I7/'UF Geral'!I6-1</f>
        <v>2.8852082400736556E-2</v>
      </c>
      <c r="J7" s="12">
        <f>'UF Geral'!J7/'UF Geral'!J6-1</f>
        <v>6.6759210661853086E-3</v>
      </c>
      <c r="K7" s="12">
        <f>'UF Geral'!K7/'UF Geral'!K6-1</f>
        <v>1.7479069934207558E-3</v>
      </c>
      <c r="L7" s="12">
        <f>'UF Geral'!L7/'UF Geral'!L6-1</f>
        <v>7.9291036907447321E-3</v>
      </c>
      <c r="M7" s="12">
        <f>'UF Geral'!M7/'UF Geral'!M6-1</f>
        <v>1.0890366117741745E-2</v>
      </c>
      <c r="N7" s="12">
        <f>'UF Geral'!N7/'UF Geral'!N6-1</f>
        <v>0.1317292097136129</v>
      </c>
      <c r="O7" s="12">
        <f>'UF Geral'!O7/'UF Geral'!O6-1</f>
        <v>1.0147220693450754E-2</v>
      </c>
      <c r="P7" s="12">
        <f>'UF Geral'!P7/'UF Geral'!P6-1</f>
        <v>1.1654569318595209E-2</v>
      </c>
      <c r="Q7" s="12">
        <f>'UF Geral'!Q7/'UF Geral'!Q6-1</f>
        <v>6.6812458373322059E-3</v>
      </c>
      <c r="R7" s="12">
        <f>'UF Geral'!R7/'UF Geral'!R6-1</f>
        <v>3.5831237245502745E-3</v>
      </c>
      <c r="S7" s="12">
        <f>'UF Geral'!S7/'UF Geral'!S6-1</f>
        <v>8.2059187994574234E-3</v>
      </c>
      <c r="T7" s="12">
        <f>'UF Geral'!T7/'UF Geral'!T6-1</f>
        <v>1.5416107982479721E-2</v>
      </c>
      <c r="U7" s="12">
        <f>'UF Geral'!U7/'UF Geral'!U6-1</f>
        <v>4.7391991188279192E-3</v>
      </c>
      <c r="V7" s="12">
        <f>'UF Geral'!V7/'UF Geral'!V6-1</f>
        <v>1.445510128337868E-2</v>
      </c>
      <c r="W7" s="12">
        <f>'UF Geral'!W7/'UF Geral'!W6-1</f>
        <v>1.082485386447285E-3</v>
      </c>
      <c r="X7" s="12">
        <f>'UF Geral'!X7/'UF Geral'!X6-1</f>
        <v>-4.7486333546264969E-4</v>
      </c>
      <c r="Y7" s="12">
        <f>'UF Geral'!Y7/'UF Geral'!Y6-1</f>
        <v>7.2102756123446632E-3</v>
      </c>
      <c r="Z7" s="12">
        <f>'UF Geral'!Z7/'UF Geral'!Z6-1</f>
        <v>-1.47512708787223E-3</v>
      </c>
      <c r="AA7" s="12">
        <f>'UF Geral'!AA7/'UF Geral'!AA6-1</f>
        <v>6.1962899306584607E-3</v>
      </c>
      <c r="AB7" s="12">
        <f>'UF Geral'!AB7/'UF Geral'!AB6-1</f>
        <v>1.4331969579076898E-2</v>
      </c>
      <c r="AC7" s="13">
        <f>'UF Geral'!AC7/'UF Geral'!AC6-1</f>
        <v>1.039883742272063E-2</v>
      </c>
      <c r="AD7" s="27"/>
      <c r="AE7" s="26"/>
    </row>
    <row r="8" spans="1:31" x14ac:dyDescent="0.35">
      <c r="A8" s="17">
        <f>'UF Geral'!A8</f>
        <v>45413</v>
      </c>
      <c r="B8" s="12">
        <f>'UF Geral'!B8/'UF Geral'!B7-1</f>
        <v>2.6893135173389204E-3</v>
      </c>
      <c r="C8" s="12">
        <f>'UF Geral'!C8/'UF Geral'!C7-1</f>
        <v>-3.795691706840798E-3</v>
      </c>
      <c r="D8" s="12">
        <f>'UF Geral'!D8/'UF Geral'!D7-1</f>
        <v>2.6137999778491627E-2</v>
      </c>
      <c r="E8" s="12">
        <f>'UF Geral'!E8/'UF Geral'!E7-1</f>
        <v>2.2155085599193658E-3</v>
      </c>
      <c r="F8" s="12">
        <f>'UF Geral'!F8/'UF Geral'!F7-1</f>
        <v>-1.4035729090844384E-4</v>
      </c>
      <c r="G8" s="12">
        <f>'UF Geral'!G8/'UF Geral'!G7-1</f>
        <v>1.8017309720830266E-3</v>
      </c>
      <c r="H8" s="12">
        <f>'UF Geral'!H8/'UF Geral'!H7-1</f>
        <v>3.1894105057460598E-2</v>
      </c>
      <c r="I8" s="12">
        <f>'UF Geral'!I8/'UF Geral'!I7-1</f>
        <v>-1.0122072356809175E-2</v>
      </c>
      <c r="J8" s="12">
        <f>'UF Geral'!J8/'UF Geral'!J7-1</f>
        <v>6.3344183054869774E-5</v>
      </c>
      <c r="K8" s="12">
        <f>'UF Geral'!K8/'UF Geral'!K7-1</f>
        <v>7.4984117325984645E-3</v>
      </c>
      <c r="L8" s="12">
        <f>'UF Geral'!L8/'UF Geral'!L7-1</f>
        <v>-5.953606392469335E-3</v>
      </c>
      <c r="M8" s="12">
        <f>'UF Geral'!M8/'UF Geral'!M7-1</f>
        <v>8.2821665649559506E-3</v>
      </c>
      <c r="N8" s="12">
        <f>'UF Geral'!N8/'UF Geral'!N7-1</f>
        <v>3.5402515476330443E-3</v>
      </c>
      <c r="O8" s="12">
        <f>'UF Geral'!O8/'UF Geral'!O7-1</f>
        <v>1.6583239690809437E-2</v>
      </c>
      <c r="P8" s="12">
        <f>'UF Geral'!P8/'UF Geral'!P7-1</f>
        <v>5.0801888267109074E-3</v>
      </c>
      <c r="Q8" s="12">
        <f>'UF Geral'!Q8/'UF Geral'!Q7-1</f>
        <v>6.0638580515428586E-3</v>
      </c>
      <c r="R8" s="12">
        <f>'UF Geral'!R8/'UF Geral'!R7-1</f>
        <v>8.3465348875699785E-3</v>
      </c>
      <c r="S8" s="12">
        <f>'UF Geral'!S8/'UF Geral'!S7-1</f>
        <v>3.3582378445338179E-3</v>
      </c>
      <c r="T8" s="12">
        <f>'UF Geral'!T8/'UF Geral'!T7-1</f>
        <v>-3.5212941460471825E-6</v>
      </c>
      <c r="U8" s="12">
        <f>'UF Geral'!U8/'UF Geral'!U7-1</f>
        <v>6.3179759397629098E-3</v>
      </c>
      <c r="V8" s="12">
        <f>'UF Geral'!V8/'UF Geral'!V7-1</f>
        <v>-7.6252094044249041E-3</v>
      </c>
      <c r="W8" s="12">
        <f>'UF Geral'!W8/'UF Geral'!W7-1</f>
        <v>9.5155709342560346E-3</v>
      </c>
      <c r="X8" s="12">
        <f>'UF Geral'!X8/'UF Geral'!X7-1</f>
        <v>-3.0631924845454739E-2</v>
      </c>
      <c r="Y8" s="12">
        <f>'UF Geral'!Y8/'UF Geral'!Y7-1</f>
        <v>9.3990226416680311E-3</v>
      </c>
      <c r="Z8" s="12">
        <f>'UF Geral'!Z8/'UF Geral'!Z7-1</f>
        <v>3.8637241755494767E-3</v>
      </c>
      <c r="AA8" s="12">
        <f>'UF Geral'!AA8/'UF Geral'!AA7-1</f>
        <v>6.0600125852473763E-2</v>
      </c>
      <c r="AB8" s="12">
        <f>'UF Geral'!AB8/'UF Geral'!AB7-1</f>
        <v>5.2954567950114217E-3</v>
      </c>
      <c r="AC8" s="13">
        <f>'UF Geral'!AC8/'UF Geral'!AC7-1</f>
        <v>1.9620014865482371E-2</v>
      </c>
      <c r="AD8" s="27"/>
      <c r="AE8" s="26"/>
    </row>
    <row r="9" spans="1:31" x14ac:dyDescent="0.35">
      <c r="A9" s="17">
        <f>'UF Geral'!A9</f>
        <v>45444</v>
      </c>
      <c r="B9" s="12">
        <f>'UF Geral'!B9/'UF Geral'!B8-1</f>
        <v>5.0818746470919773E-3</v>
      </c>
      <c r="C9" s="12">
        <f>'UF Geral'!C9/'UF Geral'!C8-1</f>
        <v>-2.9403116730375434E-4</v>
      </c>
      <c r="D9" s="12">
        <f>'UF Geral'!D9/'UF Geral'!D8-1</f>
        <v>6.9212088505126168E-3</v>
      </c>
      <c r="E9" s="12">
        <f>'UF Geral'!E9/'UF Geral'!E8-1</f>
        <v>6.6988210075002996E-5</v>
      </c>
      <c r="F9" s="12">
        <f>'UF Geral'!F9/'UF Geral'!F8-1</f>
        <v>2.4614942641307813E-3</v>
      </c>
      <c r="G9" s="12">
        <f>'UF Geral'!G9/'UF Geral'!G8-1</f>
        <v>4.0416988214981853E-3</v>
      </c>
      <c r="H9" s="12">
        <f>'UF Geral'!H9/'UF Geral'!H8-1</f>
        <v>1.2677442868844535E-2</v>
      </c>
      <c r="I9" s="12">
        <f>'UF Geral'!I9/'UF Geral'!I8-1</f>
        <v>9.2718527118924587E-3</v>
      </c>
      <c r="J9" s="12">
        <f>'UF Geral'!J9/'UF Geral'!J8-1</f>
        <v>-3.5275602827894992E-2</v>
      </c>
      <c r="K9" s="12">
        <f>'UF Geral'!K9/'UF Geral'!K8-1</f>
        <v>2.9308583862519555E-4</v>
      </c>
      <c r="L9" s="12">
        <f>'UF Geral'!L9/'UF Geral'!L8-1</f>
        <v>-1.6373237065075319E-2</v>
      </c>
      <c r="M9" s="12">
        <f>'UF Geral'!M9/'UF Geral'!M8-1</f>
        <v>6.7689419205019252E-3</v>
      </c>
      <c r="N9" s="12">
        <f>'UF Geral'!N9/'UF Geral'!N8-1</f>
        <v>-7.2381076587002546E-4</v>
      </c>
      <c r="O9" s="12">
        <f>'UF Geral'!O9/'UF Geral'!O8-1</f>
        <v>3.1821531453071206E-3</v>
      </c>
      <c r="P9" s="12">
        <f>'UF Geral'!P9/'UF Geral'!P8-1</f>
        <v>9.4713759156441757E-3</v>
      </c>
      <c r="Q9" s="12">
        <f>'UF Geral'!Q9/'UF Geral'!Q8-1</f>
        <v>-5.7062670553694739E-3</v>
      </c>
      <c r="R9" s="12">
        <f>'UF Geral'!R9/'UF Geral'!R8-1</f>
        <v>3.2593912676452952E-3</v>
      </c>
      <c r="S9" s="12">
        <f>'UF Geral'!S9/'UF Geral'!S8-1</f>
        <v>4.1258741258740628E-3</v>
      </c>
      <c r="T9" s="12">
        <f>'UF Geral'!T9/'UF Geral'!T8-1</f>
        <v>7.1429703277103851E-3</v>
      </c>
      <c r="U9" s="12">
        <f>'UF Geral'!U9/'UF Geral'!U8-1</f>
        <v>4.7445673986583614E-3</v>
      </c>
      <c r="V9" s="12">
        <f>'UF Geral'!V9/'UF Geral'!V8-1</f>
        <v>4.6762520131167218E-3</v>
      </c>
      <c r="W9" s="12">
        <f>'UF Geral'!W9/'UF Geral'!W8-1</f>
        <v>5.3556126820908379E-3</v>
      </c>
      <c r="X9" s="12">
        <f>'UF Geral'!X9/'UF Geral'!X8-1</f>
        <v>-2.8102081181845207E-2</v>
      </c>
      <c r="Y9" s="12">
        <f>'UF Geral'!Y9/'UF Geral'!Y8-1</f>
        <v>4.9453274285338189E-3</v>
      </c>
      <c r="Z9" s="12">
        <f>'UF Geral'!Z9/'UF Geral'!Z8-1</f>
        <v>-7.4713034028395242E-4</v>
      </c>
      <c r="AA9" s="12">
        <f>'UF Geral'!AA9/'UF Geral'!AA8-1</f>
        <v>2.7115834331050026E-2</v>
      </c>
      <c r="AB9" s="12">
        <f>'UF Geral'!AB9/'UF Geral'!AB8-1</f>
        <v>3.0030030030030463E-3</v>
      </c>
      <c r="AC9" s="13">
        <f>'UF Geral'!AC9/'UF Geral'!AC8-1</f>
        <v>6.9764410726034232E-3</v>
      </c>
      <c r="AD9" s="27"/>
      <c r="AE9" s="26"/>
    </row>
    <row r="10" spans="1:31" x14ac:dyDescent="0.35">
      <c r="A10" s="17">
        <f>'UF Geral'!A10</f>
        <v>45474</v>
      </c>
      <c r="B10" s="12">
        <f>'UF Geral'!B10/'UF Geral'!B9-1</f>
        <v>-6.6713483146066954E-3</v>
      </c>
      <c r="C10" s="12">
        <f>'UF Geral'!C10/'UF Geral'!C9-1</f>
        <v>-3.390931372549022E-2</v>
      </c>
      <c r="D10" s="12">
        <f>'UF Geral'!D10/'UF Geral'!D9-1</f>
        <v>1.0853107874533308E-3</v>
      </c>
      <c r="E10" s="12">
        <f>'UF Geral'!E10/'UF Geral'!E9-1</f>
        <v>-4.6888606068725691E-3</v>
      </c>
      <c r="F10" s="12">
        <f>'UF Geral'!F10/'UF Geral'!F9-1</f>
        <v>-1.1098374322634386E-2</v>
      </c>
      <c r="G10" s="12">
        <f>'UF Geral'!G10/'UF Geral'!G9-1</f>
        <v>-1.0675855240874443E-2</v>
      </c>
      <c r="H10" s="12">
        <f>'UF Geral'!H10/'UF Geral'!H9-1</f>
        <v>1.0010537407797671E-2</v>
      </c>
      <c r="I10" s="12">
        <f>'UF Geral'!I10/'UF Geral'!I9-1</f>
        <v>-8.857992736117315E-3</v>
      </c>
      <c r="J10" s="12">
        <f>'UF Geral'!J10/'UF Geral'!J9-1</f>
        <v>-1.8383745536638685E-3</v>
      </c>
      <c r="K10" s="12">
        <f>'UF Geral'!K10/'UF Geral'!K9-1</f>
        <v>1.7366906985829544E-2</v>
      </c>
      <c r="L10" s="12">
        <f>'UF Geral'!L10/'UF Geral'!L9-1</f>
        <v>-1.0293201317420175E-2</v>
      </c>
      <c r="M10" s="12">
        <f>'UF Geral'!M10/'UF Geral'!M9-1</f>
        <v>-3.71751772875617E-3</v>
      </c>
      <c r="N10" s="12">
        <f>'UF Geral'!N10/'UF Geral'!N9-1</f>
        <v>1.5844013468716556E-2</v>
      </c>
      <c r="O10" s="12">
        <f>'UF Geral'!O10/'UF Geral'!O9-1</f>
        <v>2.0167618284416822E-3</v>
      </c>
      <c r="P10" s="12">
        <f>'UF Geral'!P10/'UF Geral'!P9-1</f>
        <v>-7.6261785912368207E-3</v>
      </c>
      <c r="Q10" s="12">
        <f>'UF Geral'!Q10/'UF Geral'!Q9-1</f>
        <v>-4.3745671001307329E-3</v>
      </c>
      <c r="R10" s="12">
        <f>'UF Geral'!R10/'UF Geral'!R9-1</f>
        <v>-8.7180086478906293E-3</v>
      </c>
      <c r="S10" s="12">
        <f>'UF Geral'!S10/'UF Geral'!S9-1</f>
        <v>-1.19353235145081E-3</v>
      </c>
      <c r="T10" s="12">
        <f>'UF Geral'!T10/'UF Geral'!T9-1</f>
        <v>5.1938017020145555E-3</v>
      </c>
      <c r="U10" s="12">
        <f>'UF Geral'!U10/'UF Geral'!U9-1</f>
        <v>-4.2799058420714964E-3</v>
      </c>
      <c r="V10" s="12">
        <f>'UF Geral'!V10/'UF Geral'!V9-1</f>
        <v>-2.240333732473232E-3</v>
      </c>
      <c r="W10" s="12">
        <f>'UF Geral'!W10/'UF Geral'!W9-1</f>
        <v>-5.2205412316215227E-3</v>
      </c>
      <c r="X10" s="12">
        <f>'UF Geral'!X10/'UF Geral'!X9-1</f>
        <v>3.0574540826587171E-2</v>
      </c>
      <c r="Y10" s="12">
        <f>'UF Geral'!Y10/'UF Geral'!Y9-1</f>
        <v>-1.3441277663322704E-2</v>
      </c>
      <c r="Z10" s="12">
        <f>'UF Geral'!Z10/'UF Geral'!Z9-1</f>
        <v>-4.5087910096066608E-3</v>
      </c>
      <c r="AA10" s="12">
        <f>'UF Geral'!AA10/'UF Geral'!AA9-1</f>
        <v>-3.590678024906313E-3</v>
      </c>
      <c r="AB10" s="12">
        <f>'UF Geral'!AB10/'UF Geral'!AB9-1</f>
        <v>-3.4357514479238516E-3</v>
      </c>
      <c r="AC10" s="13">
        <f>'UF Geral'!AC10/'UF Geral'!AC9-1</f>
        <v>-1.7365839431622287E-3</v>
      </c>
      <c r="AD10" s="27"/>
      <c r="AE10" s="26"/>
    </row>
    <row r="11" spans="1:31" x14ac:dyDescent="0.35">
      <c r="A11" s="17">
        <f>'UF Geral'!A11</f>
        <v>45505</v>
      </c>
      <c r="B11" s="12">
        <f>'UF Geral'!B11/'UF Geral'!B10-1</f>
        <v>-1.4139271827495747E-4</v>
      </c>
      <c r="C11" s="12">
        <f>'UF Geral'!C11/'UF Geral'!C10-1</f>
        <v>-5.3886062943183655E-2</v>
      </c>
      <c r="D11" s="12">
        <f>'UF Geral'!D11/'UF Geral'!D10-1</f>
        <v>7.2141767272533297E-3</v>
      </c>
      <c r="E11" s="12">
        <f>'UF Geral'!E11/'UF Geral'!E10-1</f>
        <v>-3.0284675953967666E-3</v>
      </c>
      <c r="F11" s="12">
        <f>'UF Geral'!F11/'UF Geral'!F10-1</f>
        <v>-4.0110121713472502E-3</v>
      </c>
      <c r="G11" s="12">
        <f>'UF Geral'!G11/'UF Geral'!G10-1</f>
        <v>-6.3205714850050887E-3</v>
      </c>
      <c r="H11" s="12">
        <f>'UF Geral'!H11/'UF Geral'!H10-1</f>
        <v>8.1994313297626409E-3</v>
      </c>
      <c r="I11" s="12">
        <f>'UF Geral'!I11/'UF Geral'!I10-1</f>
        <v>-4.1203780467584661E-3</v>
      </c>
      <c r="J11" s="12">
        <f>'UF Geral'!J11/'UF Geral'!J10-1</f>
        <v>-1.998613619919376E-3</v>
      </c>
      <c r="K11" s="12">
        <f>'UF Geral'!K11/'UF Geral'!K10-1</f>
        <v>2.3301682608392049E-3</v>
      </c>
      <c r="L11" s="12">
        <f>'UF Geral'!L11/'UF Geral'!L10-1</f>
        <v>-6.6140975060493545E-3</v>
      </c>
      <c r="M11" s="12">
        <f>'UF Geral'!M11/'UF Geral'!M10-1</f>
        <v>-1.1822223316872993E-3</v>
      </c>
      <c r="N11" s="12">
        <f>'UF Geral'!N11/'UF Geral'!N10-1</f>
        <v>7.0083251965671334E-3</v>
      </c>
      <c r="O11" s="12">
        <f>'UF Geral'!O11/'UF Geral'!O10-1</f>
        <v>2.2259691963184558E-3</v>
      </c>
      <c r="P11" s="12">
        <f>'UF Geral'!P11/'UF Geral'!P10-1</f>
        <v>2.8751960008073008E-2</v>
      </c>
      <c r="Q11" s="12">
        <f>'UF Geral'!Q11/'UF Geral'!Q10-1</f>
        <v>-2.7565789129558871E-3</v>
      </c>
      <c r="R11" s="12">
        <f>'UF Geral'!R11/'UF Geral'!R10-1</f>
        <v>8.2288031689143892E-3</v>
      </c>
      <c r="S11" s="12">
        <f>'UF Geral'!S11/'UF Geral'!S10-1</f>
        <v>-4.6499997595657039E-3</v>
      </c>
      <c r="T11" s="12">
        <f>'UF Geral'!T11/'UF Geral'!T10-1</f>
        <v>-4.7234864756287021E-3</v>
      </c>
      <c r="U11" s="12">
        <f>'UF Geral'!U11/'UF Geral'!U10-1</f>
        <v>8.8831578193282468E-4</v>
      </c>
      <c r="V11" s="12">
        <f>'UF Geral'!V11/'UF Geral'!V10-1</f>
        <v>1.4207734892183854E-2</v>
      </c>
      <c r="W11" s="12">
        <f>'UF Geral'!W11/'UF Geral'!W10-1</f>
        <v>-2.4633179822213247E-3</v>
      </c>
      <c r="X11" s="12">
        <f>'UF Geral'!X11/'UF Geral'!X10-1</f>
        <v>-4.2814827328097049E-4</v>
      </c>
      <c r="Y11" s="12">
        <f>'UF Geral'!Y11/'UF Geral'!Y10-1</f>
        <v>-2.0043094401924755E-3</v>
      </c>
      <c r="Z11" s="12">
        <f>'UF Geral'!Z11/'UF Geral'!Z10-1</f>
        <v>-4.2333340919953333E-3</v>
      </c>
      <c r="AA11" s="12">
        <f>'UF Geral'!AA11/'UF Geral'!AA10-1</f>
        <v>-5.9668380370888618E-3</v>
      </c>
      <c r="AB11" s="12">
        <f>'UF Geral'!AB11/'UF Geral'!AB10-1</f>
        <v>0</v>
      </c>
      <c r="AC11" s="13">
        <f>'UF Geral'!AC11/'UF Geral'!AC10-1</f>
        <v>-3.7198114407601679E-3</v>
      </c>
      <c r="AD11" s="27"/>
      <c r="AE11" s="26"/>
    </row>
    <row r="12" spans="1:31" x14ac:dyDescent="0.35">
      <c r="A12" s="17">
        <f>'UF Geral'!A12</f>
        <v>45536</v>
      </c>
      <c r="B12" s="12">
        <f>'UF Geral'!B12/'UF Geral'!B11-1</f>
        <v>-2.6868415470551188E-3</v>
      </c>
      <c r="C12" s="12">
        <f>'UF Geral'!C12/'UF Geral'!C11-1</f>
        <v>6.7439833746731903E-3</v>
      </c>
      <c r="D12" s="12">
        <f>'UF Geral'!D12/'UF Geral'!D11-1</f>
        <v>3.2158186384596554E-3</v>
      </c>
      <c r="E12" s="12">
        <f>'UF Geral'!E12/'UF Geral'!E11-1</f>
        <v>-6.0753341433783525E-4</v>
      </c>
      <c r="F12" s="12">
        <f>'UF Geral'!F12/'UF Geral'!F11-1</f>
        <v>1.0223312591338685E-2</v>
      </c>
      <c r="G12" s="12">
        <f>'UF Geral'!G12/'UF Geral'!G11-1</f>
        <v>4.9296007950969667E-3</v>
      </c>
      <c r="H12" s="12">
        <f>'UF Geral'!H12/'UF Geral'!H11-1</f>
        <v>1.1419368473215119E-2</v>
      </c>
      <c r="I12" s="12">
        <f>'UF Geral'!I12/'UF Geral'!I11-1</f>
        <v>8.6910916310780628E-3</v>
      </c>
      <c r="J12" s="12">
        <f>'UF Geral'!J12/'UF Geral'!J11-1</f>
        <v>5.9977083988196345E-3</v>
      </c>
      <c r="K12" s="12">
        <f>'UF Geral'!K12/'UF Geral'!K11-1</f>
        <v>7.2789962647255013E-3</v>
      </c>
      <c r="L12" s="12">
        <f>'UF Geral'!L12/'UF Geral'!L11-1</f>
        <v>5.5438028328413935E-3</v>
      </c>
      <c r="M12" s="12">
        <f>'UF Geral'!M12/'UF Geral'!M11-1</f>
        <v>5.5482264169552931E-3</v>
      </c>
      <c r="N12" s="12">
        <f>'UF Geral'!N12/'UF Geral'!N11-1</f>
        <v>8.1077805349476506E-3</v>
      </c>
      <c r="O12" s="12">
        <f>'UF Geral'!O12/'UF Geral'!O11-1</f>
        <v>1.3964530093562022E-3</v>
      </c>
      <c r="P12" s="12">
        <f>'UF Geral'!P12/'UF Geral'!P11-1</f>
        <v>1.3536557760507106E-2</v>
      </c>
      <c r="Q12" s="12">
        <f>'UF Geral'!Q12/'UF Geral'!Q11-1</f>
        <v>-1.1434446006336474E-3</v>
      </c>
      <c r="R12" s="12">
        <f>'UF Geral'!R12/'UF Geral'!R11-1</f>
        <v>2.057950001169262E-3</v>
      </c>
      <c r="S12" s="12">
        <f>'UF Geral'!S12/'UF Geral'!S11-1</f>
        <v>3.3576501280263571E-4</v>
      </c>
      <c r="T12" s="12">
        <f>'UF Geral'!T12/'UF Geral'!T11-1</f>
        <v>3.786588104137234E-3</v>
      </c>
      <c r="U12" s="12">
        <f>'UF Geral'!U12/'UF Geral'!U11-1</f>
        <v>2.877306497559351E-3</v>
      </c>
      <c r="V12" s="12">
        <f>'UF Geral'!V12/'UF Geral'!V11-1</f>
        <v>4.4278189174746796E-3</v>
      </c>
      <c r="W12" s="12">
        <f>'UF Geral'!W12/'UF Geral'!W11-1</f>
        <v>4.8314365471333609E-3</v>
      </c>
      <c r="X12" s="12">
        <f>'UF Geral'!X12/'UF Geral'!X11-1</f>
        <v>8.8638429800227403E-3</v>
      </c>
      <c r="Y12" s="12">
        <f>'UF Geral'!Y12/'UF Geral'!Y11-1</f>
        <v>5.3240148469564375E-3</v>
      </c>
      <c r="Z12" s="12">
        <f>'UF Geral'!Z12/'UF Geral'!Z11-1</f>
        <v>-2.0090969349272014E-2</v>
      </c>
      <c r="AA12" s="12">
        <f>'UF Geral'!AA12/'UF Geral'!AA11-1</f>
        <v>4.0069256853580981E-3</v>
      </c>
      <c r="AB12" s="12">
        <f>'UF Geral'!AB12/'UF Geral'!AB11-1</f>
        <v>4.6788810086682009E-3</v>
      </c>
      <c r="AC12" s="13">
        <f>'UF Geral'!AC12/'UF Geral'!AC11-1</f>
        <v>4.6990838249709732E-3</v>
      </c>
      <c r="AD12" s="27"/>
      <c r="AE12" s="26"/>
    </row>
    <row r="13" spans="1:31" x14ac:dyDescent="0.35">
      <c r="A13" s="17">
        <f>'UF Geral'!A13</f>
        <v>45566</v>
      </c>
      <c r="B13" s="12">
        <f>'UF Geral'!B13/'UF Geral'!B12-1</f>
        <v>9.3583835519319702E-3</v>
      </c>
      <c r="C13" s="12">
        <f>'UF Geral'!C13/'UF Geral'!C12-1</f>
        <v>3.3560622203281376E-3</v>
      </c>
      <c r="D13" s="12">
        <f>'UF Geral'!D13/'UF Geral'!D12-1</f>
        <v>7.8283330021855502E-3</v>
      </c>
      <c r="E13" s="12">
        <f>'UF Geral'!E13/'UF Geral'!E12-1</f>
        <v>5.4035798716649541E-3</v>
      </c>
      <c r="F13" s="12">
        <f>'UF Geral'!F13/'UF Geral'!F12-1</f>
        <v>2.4893793897976746E-2</v>
      </c>
      <c r="G13" s="12">
        <f>'UF Geral'!G13/'UF Geral'!G12-1</f>
        <v>1.2916284804409539E-2</v>
      </c>
      <c r="H13" s="12">
        <f>'UF Geral'!H13/'UF Geral'!H12-1</f>
        <v>2.3258159809784518E-2</v>
      </c>
      <c r="I13" s="12">
        <f>'UF Geral'!I13/'UF Geral'!I12-1</f>
        <v>8.0054800399449455E-3</v>
      </c>
      <c r="J13" s="12">
        <f>'UF Geral'!J13/'UF Geral'!J12-1</f>
        <v>9.3284616353785932E-3</v>
      </c>
      <c r="K13" s="12">
        <f>'UF Geral'!K13/'UF Geral'!K12-1</f>
        <v>7.8401203246691864E-3</v>
      </c>
      <c r="L13" s="12">
        <f>'UF Geral'!L13/'UF Geral'!L12-1</f>
        <v>1.1499188771278535E-2</v>
      </c>
      <c r="M13" s="12">
        <f>'UF Geral'!M13/'UF Geral'!M12-1</f>
        <v>1.2249101855144273E-2</v>
      </c>
      <c r="N13" s="12">
        <f>'UF Geral'!N13/'UF Geral'!N12-1</f>
        <v>1.0864750623283514E-2</v>
      </c>
      <c r="O13" s="12">
        <f>'UF Geral'!O13/'UF Geral'!O12-1</f>
        <v>9.197096772051383E-3</v>
      </c>
      <c r="P13" s="12">
        <f>'UF Geral'!P13/'UF Geral'!P12-1</f>
        <v>2.3822995146064674E-2</v>
      </c>
      <c r="Q13" s="12">
        <f>'UF Geral'!Q13/'UF Geral'!Q12-1</f>
        <v>-1.2959870611340407E-2</v>
      </c>
      <c r="R13" s="12">
        <f>'UF Geral'!R13/'UF Geral'!R12-1</f>
        <v>1.5006184508389975E-2</v>
      </c>
      <c r="S13" s="12">
        <f>'UF Geral'!S13/'UF Geral'!S12-1</f>
        <v>9.2364755058329528E-3</v>
      </c>
      <c r="T13" s="12">
        <f>'UF Geral'!T13/'UF Geral'!T12-1</f>
        <v>1.237705631473629E-3</v>
      </c>
      <c r="U13" s="12">
        <f>'UF Geral'!U13/'UF Geral'!U12-1</f>
        <v>7.5937080704560067E-3</v>
      </c>
      <c r="V13" s="12">
        <f>'UF Geral'!V13/'UF Geral'!V12-1</f>
        <v>6.9354716120695326E-3</v>
      </c>
      <c r="W13" s="12">
        <f>'UF Geral'!W13/'UF Geral'!W12-1</f>
        <v>1.7416390640025536E-2</v>
      </c>
      <c r="X13" s="12">
        <f>'UF Geral'!X13/'UF Geral'!X12-1</f>
        <v>-8.0956809556542719E-3</v>
      </c>
      <c r="Y13" s="12">
        <f>'UF Geral'!Y13/'UF Geral'!Y12-1</f>
        <v>9.6049925042707152E-3</v>
      </c>
      <c r="Z13" s="12">
        <f>'UF Geral'!Z13/'UF Geral'!Z12-1</f>
        <v>1.1895876096286617E-2</v>
      </c>
      <c r="AA13" s="12">
        <f>'UF Geral'!AA13/'UF Geral'!AA12-1</f>
        <v>9.3497876304597938E-3</v>
      </c>
      <c r="AB13" s="12">
        <f>'UF Geral'!AB13/'UF Geral'!AB12-1</f>
        <v>2.2059904897298921E-2</v>
      </c>
      <c r="AC13" s="13">
        <f>'UF Geral'!AC13/'UF Geral'!AC12-1</f>
        <v>8.5365227382299125E-3</v>
      </c>
      <c r="AD13" s="27"/>
      <c r="AE13" s="26"/>
    </row>
    <row r="14" spans="1:31" x14ac:dyDescent="0.35">
      <c r="A14" s="17">
        <f>'UF Geral'!A14</f>
        <v>45597</v>
      </c>
      <c r="B14" s="12">
        <f>'UF Geral'!B14/'UF Geral'!B13-1</f>
        <v>-6.0265505373322981E-2</v>
      </c>
      <c r="C14" s="12">
        <f>'UF Geral'!C14/'UF Geral'!C13-1</f>
        <v>-3.0528271834351361E-3</v>
      </c>
      <c r="D14" s="12">
        <f>'UF Geral'!D14/'UF Geral'!D13-1</f>
        <v>6.4400809610178911E-3</v>
      </c>
      <c r="E14" s="12">
        <f>'UF Geral'!E14/'UF Geral'!E13-1</f>
        <v>-1.5183070204904281E-2</v>
      </c>
      <c r="F14" s="12">
        <f>'UF Geral'!F14/'UF Geral'!F13-1</f>
        <v>-2.9152722070357462E-2</v>
      </c>
      <c r="G14" s="12">
        <f>'UF Geral'!G14/'UF Geral'!G13-1</f>
        <v>-2.6232197255708911E-3</v>
      </c>
      <c r="H14" s="12">
        <f>'UF Geral'!H14/'UF Geral'!H13-1</f>
        <v>5.7809573434353112E-3</v>
      </c>
      <c r="I14" s="12">
        <f>'UF Geral'!I14/'UF Geral'!I13-1</f>
        <v>-1.3345669207529554E-3</v>
      </c>
      <c r="J14" s="12">
        <f>'UF Geral'!J14/'UF Geral'!J13-1</f>
        <v>-1.1499131198945411E-2</v>
      </c>
      <c r="K14" s="12">
        <f>'UF Geral'!K14/'UF Geral'!K13-1</f>
        <v>-0.10376177161775046</v>
      </c>
      <c r="L14" s="12">
        <f>'UF Geral'!L14/'UF Geral'!L13-1</f>
        <v>8.6448918104629069E-3</v>
      </c>
      <c r="M14" s="12">
        <f>'UF Geral'!M14/'UF Geral'!M13-1</f>
        <v>8.9636125781278331E-4</v>
      </c>
      <c r="N14" s="12">
        <f>'UF Geral'!N14/'UF Geral'!N13-1</f>
        <v>-8.1877421737579503E-3</v>
      </c>
      <c r="O14" s="12">
        <f>'UF Geral'!O14/'UF Geral'!O13-1</f>
        <v>6.1720271621834577E-3</v>
      </c>
      <c r="P14" s="12">
        <f>'UF Geral'!P14/'UF Geral'!P13-1</f>
        <v>1.6942497309560434E-2</v>
      </c>
      <c r="Q14" s="12">
        <f>'UF Geral'!Q14/'UF Geral'!Q13-1</f>
        <v>-4.1071257567858455E-3</v>
      </c>
      <c r="R14" s="12">
        <f>'UF Geral'!R14/'UF Geral'!R13-1</f>
        <v>3.6788374873539809E-3</v>
      </c>
      <c r="S14" s="12">
        <f>'UF Geral'!S14/'UF Geral'!S13-1</f>
        <v>-6.0175525907777416E-3</v>
      </c>
      <c r="T14" s="12">
        <f>'UF Geral'!T14/'UF Geral'!T13-1</f>
        <v>7.0797567985312337E-3</v>
      </c>
      <c r="U14" s="12">
        <f>'UF Geral'!U14/'UF Geral'!U13-1</f>
        <v>7.848137129905064E-3</v>
      </c>
      <c r="V14" s="12">
        <f>'UF Geral'!V14/'UF Geral'!V13-1</f>
        <v>1.1284509274809951E-2</v>
      </c>
      <c r="W14" s="12">
        <f>'UF Geral'!W14/'UF Geral'!W13-1</f>
        <v>-4.2007981516488657E-3</v>
      </c>
      <c r="X14" s="12">
        <f>'UF Geral'!X14/'UF Geral'!X13-1</f>
        <v>7.4454548366338358E-3</v>
      </c>
      <c r="Y14" s="12">
        <f>'UF Geral'!Y14/'UF Geral'!Y13-1</f>
        <v>-2.5108344700174423E-2</v>
      </c>
      <c r="Z14" s="12">
        <f>'UF Geral'!Z14/'UF Geral'!Z13-1</f>
        <v>-5.1173297681065932E-2</v>
      </c>
      <c r="AA14" s="12">
        <f>'UF Geral'!AA14/'UF Geral'!AA13-1</f>
        <v>7.8446353692276372E-3</v>
      </c>
      <c r="AB14" s="12">
        <f>'UF Geral'!AB14/'UF Geral'!AB13-1</f>
        <v>6.3792028394646927E-3</v>
      </c>
      <c r="AC14" s="13">
        <f>'UF Geral'!AC14/'UF Geral'!AC13-1</f>
        <v>-8.0803155396658166E-4</v>
      </c>
      <c r="AD14" s="27"/>
      <c r="AE14" s="26"/>
    </row>
    <row r="15" spans="1:31" x14ac:dyDescent="0.35">
      <c r="A15" s="19">
        <f>'UF Geral'!A15</f>
        <v>45627</v>
      </c>
      <c r="B15" s="21">
        <f>'UF Geral'!B15/'UF Geral'!B14-1</f>
        <v>-1.1211600269078414E-2</v>
      </c>
      <c r="C15" s="21">
        <f>'UF Geral'!C15/'UF Geral'!C14-1</f>
        <v>-9.692451071761421E-3</v>
      </c>
      <c r="D15" s="21">
        <f>'UF Geral'!D15/'UF Geral'!D14-1</f>
        <v>-1.2902214793146682E-2</v>
      </c>
      <c r="E15" s="21">
        <f>'UF Geral'!E15/'UF Geral'!E14-1</f>
        <v>-3.0015690019783436E-3</v>
      </c>
      <c r="F15" s="21">
        <f>'UF Geral'!F15/'UF Geral'!F14-1</f>
        <v>-9.2955939674028709E-3</v>
      </c>
      <c r="G15" s="21">
        <f>'UF Geral'!G15/'UF Geral'!G14-1</f>
        <v>1.2400065263500348E-3</v>
      </c>
      <c r="H15" s="21">
        <f>'UF Geral'!H15/'UF Geral'!H14-1</f>
        <v>-7.1339060060627846E-3</v>
      </c>
      <c r="I15" s="21">
        <f>'UF Geral'!I15/'UF Geral'!I14-1</f>
        <v>-2.8981586239690382E-2</v>
      </c>
      <c r="J15" s="21">
        <f>'UF Geral'!J15/'UF Geral'!J14-1</f>
        <v>6.578169750420515E-2</v>
      </c>
      <c r="K15" s="21">
        <f>'UF Geral'!K15/'UF Geral'!K14-1</f>
        <v>1.611544939519205E-2</v>
      </c>
      <c r="L15" s="21">
        <f>'UF Geral'!L15/'UF Geral'!L14-1</f>
        <v>-1.2308005634663388E-2</v>
      </c>
      <c r="M15" s="21">
        <f>'UF Geral'!M15/'UF Geral'!M14-1</f>
        <v>-1.1230787849449309E-2</v>
      </c>
      <c r="N15" s="21">
        <f>'UF Geral'!N15/'UF Geral'!N14-1</f>
        <v>2.953743617578608E-3</v>
      </c>
      <c r="O15" s="21">
        <f>'UF Geral'!O15/'UF Geral'!O14-1</f>
        <v>8.213767215559109E-3</v>
      </c>
      <c r="P15" s="21">
        <f>'UF Geral'!P15/'UF Geral'!P14-1</f>
        <v>-5.7631530024168098E-3</v>
      </c>
      <c r="Q15" s="21">
        <f>'UF Geral'!Q15/'UF Geral'!Q14-1</f>
        <v>-2.7794694274389187E-2</v>
      </c>
      <c r="R15" s="21">
        <f>'UF Geral'!R15/'UF Geral'!R14-1</f>
        <v>7.0099880876020038E-3</v>
      </c>
      <c r="S15" s="21">
        <f>'UF Geral'!S15/'UF Geral'!S14-1</f>
        <v>-7.2021933952612915E-3</v>
      </c>
      <c r="T15" s="21">
        <f>'UF Geral'!T15/'UF Geral'!T14-1</f>
        <v>-1.2601146688810849E-2</v>
      </c>
      <c r="U15" s="21">
        <f>'UF Geral'!U15/'UF Geral'!U14-1</f>
        <v>-1.5138311031148044E-2</v>
      </c>
      <c r="V15" s="21">
        <f>'UF Geral'!V15/'UF Geral'!V14-1</f>
        <v>-8.2196637495101754E-2</v>
      </c>
      <c r="W15" s="21">
        <f>'UF Geral'!W15/'UF Geral'!W14-1</f>
        <v>1.8983336848765742E-3</v>
      </c>
      <c r="X15" s="21">
        <f>'UF Geral'!X15/'UF Geral'!X14-1</f>
        <v>-5.595569788547583E-3</v>
      </c>
      <c r="Y15" s="21">
        <f>'UF Geral'!Y15/'UF Geral'!Y14-1</f>
        <v>2.6707850124330079E-3</v>
      </c>
      <c r="Z15" s="21">
        <f>'UF Geral'!Z15/'UF Geral'!Z14-1</f>
        <v>-1.0567999611291956E-2</v>
      </c>
      <c r="AA15" s="21">
        <f>'UF Geral'!AA15/'UF Geral'!AA14-1</f>
        <v>3.7071647205129121E-3</v>
      </c>
      <c r="AB15" s="21">
        <f>'UF Geral'!AB15/'UF Geral'!AB14-1</f>
        <v>7.3872843389577447E-4</v>
      </c>
      <c r="AC15" s="22">
        <f>'UF Geral'!AC15/'UF Geral'!AC14-1</f>
        <v>-2.3072470558526126E-3</v>
      </c>
      <c r="AD15" s="27"/>
      <c r="AE15" s="26"/>
    </row>
    <row r="16" spans="1:31" x14ac:dyDescent="0.35">
      <c r="A16" s="16">
        <f>'UF Geral'!A16</f>
        <v>45658</v>
      </c>
      <c r="B16" s="14">
        <f>'UF Geral'!B16/'UF Geral'!B15-1</f>
        <v>2.3131000075591546E-2</v>
      </c>
      <c r="C16" s="14">
        <f>'UF Geral'!C16/'UF Geral'!C15-1</f>
        <v>2.0851818988464998E-2</v>
      </c>
      <c r="D16" s="14">
        <f>'UF Geral'!D16/'UF Geral'!D15-1</f>
        <v>3.4370535005556535E-2</v>
      </c>
      <c r="E16" s="14">
        <f>'UF Geral'!E16/'UF Geral'!E15-1</f>
        <v>1.5600410537119469E-2</v>
      </c>
      <c r="F16" s="14">
        <f>'UF Geral'!F16/'UF Geral'!F15-1</f>
        <v>1.499390748002094E-2</v>
      </c>
      <c r="G16" s="14">
        <f>'UF Geral'!G16/'UF Geral'!G15-1</f>
        <v>2.1510282566893801E-2</v>
      </c>
      <c r="H16" s="14">
        <f>'UF Geral'!H16/'UF Geral'!H15-1</f>
        <v>2.2895219292060398E-2</v>
      </c>
      <c r="I16" s="14">
        <f>'UF Geral'!I16/'UF Geral'!I15-1</f>
        <v>1.2563429275829652E-2</v>
      </c>
      <c r="J16" s="14">
        <f>'UF Geral'!J16/'UF Geral'!J15-1</f>
        <v>1.2611613490303153E-2</v>
      </c>
      <c r="K16" s="14">
        <f>'UF Geral'!K16/'UF Geral'!K15-1</f>
        <v>2.4128837822565474E-2</v>
      </c>
      <c r="L16" s="14">
        <f>'UF Geral'!L16/'UF Geral'!L15-1</f>
        <v>2.9094883135896366E-2</v>
      </c>
      <c r="M16" s="14">
        <f>'UF Geral'!M16/'UF Geral'!M15-1</f>
        <v>4.5935228023793684E-2</v>
      </c>
      <c r="N16" s="14">
        <f>'UF Geral'!N16/'UF Geral'!N15-1</f>
        <v>-0.17387720170409848</v>
      </c>
      <c r="O16" s="14">
        <f>'UF Geral'!O16/'UF Geral'!O15-1</f>
        <v>2.7742102873451469E-2</v>
      </c>
      <c r="P16" s="14">
        <f>'UF Geral'!P16/'UF Geral'!P15-1</f>
        <v>3.5642368103101063E-2</v>
      </c>
      <c r="Q16" s="14">
        <f>'UF Geral'!Q16/'UF Geral'!Q15-1</f>
        <v>1.9544922551115063E-2</v>
      </c>
      <c r="R16" s="14">
        <f>'UF Geral'!R16/'UF Geral'!R15-1</f>
        <v>2.2021020064607155E-2</v>
      </c>
      <c r="S16" s="14">
        <f>'UF Geral'!S16/'UF Geral'!S15-1</f>
        <v>2.0150956388490737E-2</v>
      </c>
      <c r="T16" s="14">
        <f>'UF Geral'!T16/'UF Geral'!T15-1</f>
        <v>3.0977350533453185E-2</v>
      </c>
      <c r="U16" s="14">
        <f>'UF Geral'!U16/'UF Geral'!U15-1</f>
        <v>2.5404255926470443E-2</v>
      </c>
      <c r="V16" s="14">
        <f>'UF Geral'!V16/'UF Geral'!V15-1</f>
        <v>2.309600292766234E-2</v>
      </c>
      <c r="W16" s="14">
        <f>'UF Geral'!W16/'UF Geral'!W15-1</f>
        <v>1.3368421052631474E-2</v>
      </c>
      <c r="X16" s="14">
        <f>'UF Geral'!X16/'UF Geral'!X15-1</f>
        <v>8.5219676095473762E-3</v>
      </c>
      <c r="Y16" s="14">
        <f>'UF Geral'!Y16/'UF Geral'!Y15-1</f>
        <v>1.7430440742153719E-2</v>
      </c>
      <c r="Z16" s="14">
        <f>'UF Geral'!Z16/'UF Geral'!Z15-1</f>
        <v>-2.3080511699855588E-3</v>
      </c>
      <c r="AA16" s="14">
        <f>'UF Geral'!AA16/'UF Geral'!AA15-1</f>
        <v>1.6562714256235456E-2</v>
      </c>
      <c r="AB16" s="14">
        <f>'UF Geral'!AB16/'UF Geral'!AB15-1</f>
        <v>2.7146088820097614E-2</v>
      </c>
      <c r="AC16" s="15">
        <f>'UF Geral'!AC16/'UF Geral'!AC15-1</f>
        <v>1.5567202584505946E-2</v>
      </c>
      <c r="AD16" s="27"/>
      <c r="AE16" s="26"/>
    </row>
    <row r="17" spans="1:31" x14ac:dyDescent="0.35">
      <c r="A17" s="17">
        <f>'UF Geral'!A17</f>
        <v>45689</v>
      </c>
      <c r="B17" s="12">
        <f>'UF Geral'!B17/'UF Geral'!B16-1</f>
        <v>2.3346878463243348E-2</v>
      </c>
      <c r="C17" s="12">
        <f>'UF Geral'!C17/'UF Geral'!C16-1</f>
        <v>8.5470085470085166E-3</v>
      </c>
      <c r="D17" s="12">
        <f>'UF Geral'!D17/'UF Geral'!D16-1</f>
        <v>3.472488680838004E-2</v>
      </c>
      <c r="E17" s="12">
        <f>'UF Geral'!E17/'UF Geral'!E16-1</f>
        <v>2.3445395135754277E-2</v>
      </c>
      <c r="F17" s="12">
        <f>'UF Geral'!F17/'UF Geral'!F16-1</f>
        <v>1.5815900950262529E-2</v>
      </c>
      <c r="G17" s="12">
        <f>'UF Geral'!G17/'UF Geral'!G16-1</f>
        <v>8.1485499154516638E-3</v>
      </c>
      <c r="H17" s="12">
        <f>'UF Geral'!H17/'UF Geral'!H16-1</f>
        <v>2.7028890099057623E-2</v>
      </c>
      <c r="I17" s="12">
        <f>'UF Geral'!I17/'UF Geral'!I16-1</f>
        <v>7.8381015117530151E-3</v>
      </c>
      <c r="J17" s="12">
        <f>'UF Geral'!J17/'UF Geral'!J16-1</f>
        <v>2.3425396780821561E-2</v>
      </c>
      <c r="K17" s="12">
        <f>'UF Geral'!K17/'UF Geral'!K16-1</f>
        <v>1.3775726030420543E-2</v>
      </c>
      <c r="L17" s="12">
        <f>'UF Geral'!L17/'UF Geral'!L16-1</f>
        <v>2.4857653325318418E-2</v>
      </c>
      <c r="M17" s="12">
        <f>'UF Geral'!M17/'UF Geral'!M16-1</f>
        <v>3.2555145983266032E-2</v>
      </c>
      <c r="N17" s="12">
        <f>'UF Geral'!N17/'UF Geral'!N16-1</f>
        <v>1.3078915295551496E-2</v>
      </c>
      <c r="O17" s="12">
        <f>'UF Geral'!O17/'UF Geral'!O16-1</f>
        <v>1.909786868795238E-2</v>
      </c>
      <c r="P17" s="12">
        <f>'UF Geral'!P17/'UF Geral'!P16-1</f>
        <v>2.1110524707647071E-2</v>
      </c>
      <c r="Q17" s="12">
        <f>'UF Geral'!Q17/'UF Geral'!Q16-1</f>
        <v>1.9412766507857837E-2</v>
      </c>
      <c r="R17" s="12">
        <f>'UF Geral'!R17/'UF Geral'!R16-1</f>
        <v>1.1797177580910923E-2</v>
      </c>
      <c r="S17" s="12">
        <f>'UF Geral'!S17/'UF Geral'!S16-1</f>
        <v>1.4393413634764762E-2</v>
      </c>
      <c r="T17" s="12">
        <f>'UF Geral'!T17/'UF Geral'!T16-1</f>
        <v>2.4695964222904765E-2</v>
      </c>
      <c r="U17" s="12">
        <f>'UF Geral'!U17/'UF Geral'!U16-1</f>
        <v>2.517850432168367E-2</v>
      </c>
      <c r="V17" s="12">
        <f>'UF Geral'!V17/'UF Geral'!V16-1</f>
        <v>1.0035372203012649E-2</v>
      </c>
      <c r="W17" s="12">
        <f>'UF Geral'!W17/'UF Geral'!W16-1</f>
        <v>1.9320660641944487E-2</v>
      </c>
      <c r="X17" s="12">
        <f>'UF Geral'!X17/'UF Geral'!X16-1</f>
        <v>1.9415880847531986E-2</v>
      </c>
      <c r="Y17" s="12">
        <f>'UF Geral'!Y17/'UF Geral'!Y16-1</f>
        <v>1.58540565690517E-2</v>
      </c>
      <c r="Z17" s="12">
        <f>'UF Geral'!Z17/'UF Geral'!Z16-1</f>
        <v>5.4635394876085819E-3</v>
      </c>
      <c r="AA17" s="12">
        <f>'UF Geral'!AA17/'UF Geral'!AA16-1</f>
        <v>1.9468228420461697E-2</v>
      </c>
      <c r="AB17" s="12">
        <f>'UF Geral'!AB17/'UF Geral'!AB16-1</f>
        <v>2.2835284571693482E-2</v>
      </c>
      <c r="AC17" s="13">
        <f>'UF Geral'!AC17/'UF Geral'!AC16-1</f>
        <v>1.9486785280227625E-2</v>
      </c>
      <c r="AD17" s="27"/>
      <c r="AE17" s="26"/>
    </row>
    <row r="18" spans="1:31" x14ac:dyDescent="0.35">
      <c r="A18" s="17">
        <f>'UF Geral'!A18</f>
        <v>45717</v>
      </c>
      <c r="B18" s="12">
        <f>'UF Geral'!B18/'UF Geral'!B17-1</f>
        <v>2.5702115370731304E-2</v>
      </c>
      <c r="C18" s="12">
        <f>'UF Geral'!C18/'UF Geral'!C17-1</f>
        <v>-4.544148755582289E-3</v>
      </c>
      <c r="D18" s="12">
        <f>'UF Geral'!D18/'UF Geral'!D17-1</f>
        <v>2.9196178044770704E-2</v>
      </c>
      <c r="E18" s="12">
        <f>'UF Geral'!E18/'UF Geral'!E17-1</f>
        <v>1.4548087683496913E-2</v>
      </c>
      <c r="F18" s="12">
        <f>'UF Geral'!F18/'UF Geral'!F17-1</f>
        <v>1.7414825787338106E-2</v>
      </c>
      <c r="G18" s="12">
        <f>'UF Geral'!G18/'UF Geral'!G17-1</f>
        <v>2.8672337839890538E-2</v>
      </c>
      <c r="H18" s="12">
        <f>'UF Geral'!H18/'UF Geral'!H17-1</f>
        <v>2.6317555776304236E-2</v>
      </c>
      <c r="I18" s="12">
        <f>'UF Geral'!I18/'UF Geral'!I17-1</f>
        <v>7.2890036155444093E-3</v>
      </c>
      <c r="J18" s="12">
        <f>'UF Geral'!J18/'UF Geral'!J17-1</f>
        <v>2.1905955310021819E-2</v>
      </c>
      <c r="K18" s="12">
        <f>'UF Geral'!K18/'UF Geral'!K17-1</f>
        <v>3.1576560232220663E-2</v>
      </c>
      <c r="L18" s="12">
        <f>'UF Geral'!L18/'UF Geral'!L17-1</f>
        <v>2.3998944241964137E-2</v>
      </c>
      <c r="M18" s="12">
        <f>'UF Geral'!M18/'UF Geral'!M17-1</f>
        <v>2.8332785566145713E-2</v>
      </c>
      <c r="N18" s="12">
        <f>'UF Geral'!N18/'UF Geral'!N17-1</f>
        <v>2.1466649623675726E-2</v>
      </c>
      <c r="O18" s="12">
        <f>'UF Geral'!O18/'UF Geral'!O17-1</f>
        <v>2.3062679209527204E-2</v>
      </c>
      <c r="P18" s="12">
        <f>'UF Geral'!P18/'UF Geral'!P17-1</f>
        <v>1.7137727482930298E-2</v>
      </c>
      <c r="Q18" s="12">
        <f>'UF Geral'!Q18/'UF Geral'!Q17-1</f>
        <v>1.8413957176843798E-2</v>
      </c>
      <c r="R18" s="12">
        <f>'UF Geral'!R18/'UF Geral'!R17-1</f>
        <v>2.3649243224216798E-2</v>
      </c>
      <c r="S18" s="12">
        <f>'UF Geral'!S18/'UF Geral'!S17-1</f>
        <v>2.3282349743676267E-2</v>
      </c>
      <c r="T18" s="12">
        <f>'UF Geral'!T18/'UF Geral'!T17-1</f>
        <v>2.1657925268075973E-2</v>
      </c>
      <c r="U18" s="12">
        <f>'UF Geral'!U18/'UF Geral'!U17-1</f>
        <v>2.0487129358097045E-2</v>
      </c>
      <c r="V18" s="12">
        <f>'UF Geral'!V18/'UF Geral'!V17-1</f>
        <v>1.9084344934778841E-2</v>
      </c>
      <c r="W18" s="12">
        <f>'UF Geral'!W18/'UF Geral'!W17-1</f>
        <v>2.6291653928462333E-2</v>
      </c>
      <c r="X18" s="12">
        <f>'UF Geral'!X18/'UF Geral'!X17-1</f>
        <v>2.2260482131397419E-2</v>
      </c>
      <c r="Y18" s="12">
        <f>'UF Geral'!Y18/'UF Geral'!Y17-1</f>
        <v>2.2056410817314243E-2</v>
      </c>
      <c r="Z18" s="12">
        <f>'UF Geral'!Z18/'UF Geral'!Z17-1</f>
        <v>1.6007832578631698E-2</v>
      </c>
      <c r="AA18" s="12">
        <f>'UF Geral'!AA18/'UF Geral'!AA17-1</f>
        <v>1.8284158083032409E-2</v>
      </c>
      <c r="AB18" s="12">
        <f>'UF Geral'!AB18/'UF Geral'!AB17-1</f>
        <v>2.6042611060743459E-2</v>
      </c>
      <c r="AC18" s="13">
        <f>'UF Geral'!AC18/'UF Geral'!AC17-1</f>
        <v>2.0590814210384778E-2</v>
      </c>
      <c r="AD18" s="27"/>
      <c r="AE18" s="26"/>
    </row>
    <row r="19" spans="1:31" x14ac:dyDescent="0.35">
      <c r="A19" s="17">
        <f>'UF Geral'!A19</f>
        <v>45748</v>
      </c>
      <c r="B19" s="12">
        <f>'UF Geral'!B19/'UF Geral'!B18-1</f>
        <v>3.2026465826705097E-2</v>
      </c>
      <c r="C19" s="12">
        <f>'UF Geral'!C19/'UF Geral'!C18-1</f>
        <v>5.7061153815882726E-3</v>
      </c>
      <c r="D19" s="12">
        <f>'UF Geral'!D19/'UF Geral'!D18-1</f>
        <v>3.4685274371569541E-2</v>
      </c>
      <c r="E19" s="12">
        <f>'UF Geral'!E19/'UF Geral'!E18-1</f>
        <v>3.8541396314559995E-2</v>
      </c>
      <c r="F19" s="12">
        <f>'UF Geral'!F19/'UF Geral'!F18-1</f>
        <v>1.8949320774304557E-2</v>
      </c>
      <c r="G19" s="12">
        <f>'UF Geral'!G19/'UF Geral'!G18-1</f>
        <v>2.7725477166168355E-2</v>
      </c>
      <c r="H19" s="12">
        <f>'UF Geral'!H19/'UF Geral'!H18-1</f>
        <v>3.9062448907520197E-2</v>
      </c>
      <c r="I19" s="12">
        <f>'UF Geral'!I19/'UF Geral'!I18-1</f>
        <v>2.3113316029832021E-2</v>
      </c>
      <c r="J19" s="12">
        <f>'UF Geral'!J19/'UF Geral'!J18-1</f>
        <v>3.4812845711830631E-2</v>
      </c>
      <c r="K19" s="12">
        <f>'UF Geral'!K19/'UF Geral'!K18-1</f>
        <v>1.8923505772900251E-2</v>
      </c>
      <c r="L19" s="12">
        <f>'UF Geral'!L19/'UF Geral'!L18-1</f>
        <v>3.2395820571608613E-2</v>
      </c>
      <c r="M19" s="12">
        <f>'UF Geral'!M19/'UF Geral'!M18-1</f>
        <v>-2.529287942074343E-2</v>
      </c>
      <c r="N19" s="12">
        <f>'UF Geral'!N19/'UF Geral'!N18-1</f>
        <v>3.1519594853222532E-2</v>
      </c>
      <c r="O19" s="12">
        <f>'UF Geral'!O19/'UF Geral'!O18-1</f>
        <v>2.7972662941820881E-2</v>
      </c>
      <c r="P19" s="12">
        <f>'UF Geral'!P19/'UF Geral'!P18-1</f>
        <v>4.9811451953678754E-2</v>
      </c>
      <c r="Q19" s="12">
        <f>'UF Geral'!Q19/'UF Geral'!Q18-1</f>
        <v>2.2747919619172219E-2</v>
      </c>
      <c r="R19" s="12">
        <f>'UF Geral'!R19/'UF Geral'!R18-1</f>
        <v>2.9786593883647461E-2</v>
      </c>
      <c r="S19" s="12">
        <f>'UF Geral'!S19/'UF Geral'!S18-1</f>
        <v>3.7106660469248265E-2</v>
      </c>
      <c r="T19" s="12">
        <f>'UF Geral'!T19/'UF Geral'!T18-1</f>
        <v>3.5180682294965626E-2</v>
      </c>
      <c r="U19" s="12">
        <f>'UF Geral'!U19/'UF Geral'!U18-1</f>
        <v>3.632009578926354E-2</v>
      </c>
      <c r="V19" s="12">
        <f>'UF Geral'!V19/'UF Geral'!V18-1</f>
        <v>1.872695329845353E-3</v>
      </c>
      <c r="W19" s="12">
        <f>'UF Geral'!W19/'UF Geral'!W18-1</f>
        <v>3.465395690596762E-2</v>
      </c>
      <c r="X19" s="12">
        <f>'UF Geral'!X19/'UF Geral'!X18-1</f>
        <v>4.5083587992090557E-2</v>
      </c>
      <c r="Y19" s="12">
        <f>'UF Geral'!Y19/'UF Geral'!Y18-1</f>
        <v>2.7954558375498761E-2</v>
      </c>
      <c r="Z19" s="12">
        <f>'UF Geral'!Z19/'UF Geral'!Z18-1</f>
        <v>1.8742923221469976E-2</v>
      </c>
      <c r="AA19" s="12">
        <f>'UF Geral'!AA19/'UF Geral'!AA18-1</f>
        <v>2.4559146024797585E-2</v>
      </c>
      <c r="AB19" s="12">
        <f>'UF Geral'!AB19/'UF Geral'!AB18-1</f>
        <v>3.5587267224811647E-2</v>
      </c>
      <c r="AC19" s="13">
        <f>'UF Geral'!AC19/'UF Geral'!AC18-1</f>
        <v>2.8368250911917636E-2</v>
      </c>
      <c r="AD19" s="27"/>
      <c r="AE19" s="26"/>
    </row>
    <row r="20" spans="1:31" x14ac:dyDescent="0.35">
      <c r="A20" s="17">
        <f>'UF Geral'!A20</f>
        <v>45778</v>
      </c>
      <c r="B20" s="12">
        <f>'UF Geral'!B20/'UF Geral'!B19-1</f>
        <v>1.8278543172827622E-2</v>
      </c>
      <c r="C20" s="12">
        <f>'UF Geral'!C20/'UF Geral'!C19-1</f>
        <v>5.7911280961013833E-3</v>
      </c>
      <c r="D20" s="12">
        <f>'UF Geral'!D20/'UF Geral'!D19-1</f>
        <v>2.8624159905282553E-2</v>
      </c>
      <c r="E20" s="12">
        <f>'UF Geral'!E20/'UF Geral'!E19-1</f>
        <v>1.2745220542296654E-2</v>
      </c>
      <c r="F20" s="12">
        <f>'UF Geral'!F20/'UF Geral'!F19-1</f>
        <v>1.3676673862736299E-2</v>
      </c>
      <c r="G20" s="12">
        <f>'UF Geral'!G20/'UF Geral'!G19-1</f>
        <v>1.929017889216178E-2</v>
      </c>
      <c r="H20" s="12">
        <f>'UF Geral'!H20/'UF Geral'!H19-1</f>
        <v>2.2935260130159563E-2</v>
      </c>
      <c r="I20" s="12">
        <f>'UF Geral'!I20/'UF Geral'!I19-1</f>
        <v>-7.4902458213580436E-3</v>
      </c>
      <c r="J20" s="12">
        <f>'UF Geral'!J20/'UF Geral'!J19-1</f>
        <v>1.3328662679312098E-2</v>
      </c>
      <c r="K20" s="12">
        <f>'UF Geral'!K20/'UF Geral'!K19-1</f>
        <v>3.0982196024957886E-3</v>
      </c>
      <c r="L20" s="12">
        <f>'UF Geral'!L20/'UF Geral'!L19-1</f>
        <v>2.5438147666397404E-2</v>
      </c>
      <c r="M20" s="12">
        <f>'UF Geral'!M20/'UF Geral'!M19-1</f>
        <v>0.11530720698310759</v>
      </c>
      <c r="N20" s="12">
        <f>'UF Geral'!N20/'UF Geral'!N19-1</f>
        <v>7.4714202120826911E-3</v>
      </c>
      <c r="O20" s="12">
        <f>'UF Geral'!O20/'UF Geral'!O19-1</f>
        <v>1.3243590196563293E-2</v>
      </c>
      <c r="P20" s="12">
        <f>'UF Geral'!P20/'UF Geral'!P19-1</f>
        <v>3.6620938260282454E-2</v>
      </c>
      <c r="Q20" s="12">
        <f>'UF Geral'!Q20/'UF Geral'!Q19-1</f>
        <v>1.6841357257061595E-2</v>
      </c>
      <c r="R20" s="12">
        <f>'UF Geral'!R20/'UF Geral'!R19-1</f>
        <v>6.7408226725378384E-3</v>
      </c>
      <c r="S20" s="12">
        <f>'UF Geral'!S20/'UF Geral'!S19-1</f>
        <v>1.9401828469997495E-2</v>
      </c>
      <c r="T20" s="12">
        <f>'UF Geral'!T20/'UF Geral'!T19-1</f>
        <v>1.8199857280568832E-2</v>
      </c>
      <c r="U20" s="12">
        <f>'UF Geral'!U20/'UF Geral'!U19-1</f>
        <v>1.5469542332627206E-2</v>
      </c>
      <c r="V20" s="12">
        <f>'UF Geral'!V20/'UF Geral'!V19-1</f>
        <v>1.4163487108336259E-2</v>
      </c>
      <c r="W20" s="12">
        <f>'UF Geral'!W20/'UF Geral'!W19-1</f>
        <v>1.2380038387715953E-2</v>
      </c>
      <c r="X20" s="12">
        <f>'UF Geral'!X20/'UF Geral'!X19-1</f>
        <v>2.8772390360336297E-2</v>
      </c>
      <c r="Y20" s="12">
        <f>'UF Geral'!Y20/'UF Geral'!Y19-1</f>
        <v>4.3210358513891656E-2</v>
      </c>
      <c r="Z20" s="12">
        <f>'UF Geral'!Z20/'UF Geral'!Z19-1</f>
        <v>-9.6010594272470939E-3</v>
      </c>
      <c r="AA20" s="12">
        <f>'UF Geral'!AA20/'UF Geral'!AA19-1</f>
        <v>1.907482090805579E-2</v>
      </c>
      <c r="AB20" s="12">
        <f>'UF Geral'!AB20/'UF Geral'!AB19-1</f>
        <v>2.156569965870303E-2</v>
      </c>
      <c r="AC20" s="13">
        <f>'UF Geral'!AC20/'UF Geral'!AC19-1</f>
        <v>2.0682148753419227E-2</v>
      </c>
      <c r="AD20" s="27"/>
      <c r="AE20" s="26"/>
    </row>
    <row r="21" spans="1:31" x14ac:dyDescent="0.35">
      <c r="A21" s="17">
        <f>'UF Geral'!A21</f>
        <v>45809</v>
      </c>
      <c r="B21" s="12">
        <f>'UF Geral'!B21/'UF Geral'!B20-1</f>
        <v>4.0187541862022336E-3</v>
      </c>
      <c r="C21" s="12">
        <f>'UF Geral'!C21/'UF Geral'!C20-1</f>
        <v>1.6728696847483349E-3</v>
      </c>
      <c r="D21" s="12">
        <f>'UF Geral'!D21/'UF Geral'!D20-1</f>
        <v>2.0030016813929574E-2</v>
      </c>
      <c r="E21" s="12">
        <f>'UF Geral'!E21/'UF Geral'!E20-1</f>
        <v>8.6366440468843564E-4</v>
      </c>
      <c r="F21" s="12">
        <f>'UF Geral'!F21/'UF Geral'!F20-1</f>
        <v>6.3737597215163255E-4</v>
      </c>
      <c r="G21" s="12">
        <f>'UF Geral'!G21/'UF Geral'!G20-1</f>
        <v>1.0613803230543395E-2</v>
      </c>
      <c r="H21" s="12">
        <f>'UF Geral'!H21/'UF Geral'!H20-1</f>
        <v>1.7941744705462614E-2</v>
      </c>
      <c r="I21" s="12">
        <f>'UF Geral'!I21/'UF Geral'!I20-1</f>
        <v>3.2840191217271553E-3</v>
      </c>
      <c r="J21" s="12">
        <f>'UF Geral'!J21/'UF Geral'!J20-1</f>
        <v>1.8739890659075664E-2</v>
      </c>
      <c r="K21" s="12">
        <f>'UF Geral'!K21/'UF Geral'!K20-1</f>
        <v>9.4122100626332639E-3</v>
      </c>
      <c r="L21" s="12">
        <f>'UF Geral'!L21/'UF Geral'!L20-1</f>
        <v>2.0465181987874503E-2</v>
      </c>
      <c r="M21" s="12">
        <f>'UF Geral'!M21/'UF Geral'!M20-1</f>
        <v>2.5456204379562086E-2</v>
      </c>
      <c r="N21" s="12">
        <f>'UF Geral'!N21/'UF Geral'!N20-1</f>
        <v>1.0808819883695309E-2</v>
      </c>
      <c r="O21" s="12">
        <f>'UF Geral'!O21/'UF Geral'!O20-1</f>
        <v>1.2367275538017086E-2</v>
      </c>
      <c r="P21" s="12">
        <f>'UF Geral'!P21/'UF Geral'!P20-1</f>
        <v>3.7416136246344323E-2</v>
      </c>
      <c r="Q21" s="12">
        <f>'UF Geral'!Q21/'UF Geral'!Q20-1</f>
        <v>9.009998352742743E-3</v>
      </c>
      <c r="R21" s="12">
        <f>'UF Geral'!R21/'UF Geral'!R20-1</f>
        <v>3.8142620232173297E-3</v>
      </c>
      <c r="S21" s="12">
        <f>'UF Geral'!S21/'UF Geral'!S20-1</f>
        <v>2.9010146512610024E-2</v>
      </c>
      <c r="T21" s="12">
        <f>'UF Geral'!T21/'UF Geral'!T20-1</f>
        <v>2.1553963291866873E-2</v>
      </c>
      <c r="U21" s="12">
        <f>'UF Geral'!U21/'UF Geral'!U20-1</f>
        <v>8.8495575221239076E-3</v>
      </c>
      <c r="V21" s="12">
        <f>'UF Geral'!V21/'UF Geral'!V20-1</f>
        <v>1.2236599593379971E-2</v>
      </c>
      <c r="W21" s="12">
        <f>'UF Geral'!W21/'UF Geral'!W20-1</f>
        <v>3.2325338894682032E-2</v>
      </c>
      <c r="X21" s="12">
        <f>'UF Geral'!X21/'UF Geral'!X20-1</f>
        <v>1.6616508475448155E-2</v>
      </c>
      <c r="Y21" s="12">
        <f>'UF Geral'!Y21/'UF Geral'!Y20-1</f>
        <v>2.2721744391290599E-2</v>
      </c>
      <c r="Z21" s="12">
        <f>'UF Geral'!Z21/'UF Geral'!Z20-1</f>
        <v>5.1574699744514341E-3</v>
      </c>
      <c r="AA21" s="12">
        <f>'UF Geral'!AA21/'UF Geral'!AA20-1</f>
        <v>1.004940527996534E-2</v>
      </c>
      <c r="AB21" s="12">
        <f>'UF Geral'!AB21/'UF Geral'!AB20-1</f>
        <v>1.9941116284897031E-2</v>
      </c>
      <c r="AC21" s="13">
        <f>'UF Geral'!AC21/'UF Geral'!AC20-1</f>
        <v>1.4653078680718412E-2</v>
      </c>
      <c r="AD21" s="27"/>
      <c r="AE21" s="26"/>
    </row>
    <row r="22" spans="1:31" x14ac:dyDescent="0.35">
      <c r="A22" s="17">
        <f>'UF Geral'!A22</f>
        <v>45839</v>
      </c>
      <c r="B22" s="12">
        <f>'UF Geral'!B22/'UF Geral'!B21-1</f>
        <v>1.9946631087391697E-2</v>
      </c>
      <c r="C22" s="12">
        <f>'UF Geral'!C22/'UF Geral'!C21-1</f>
        <v>1.8370834520079704E-2</v>
      </c>
      <c r="D22" s="12">
        <f>'UF Geral'!D22/'UF Geral'!D21-1</f>
        <v>0.3074276484644658</v>
      </c>
      <c r="E22" s="12">
        <f>'UF Geral'!E22/'UF Geral'!E21-1</f>
        <v>3.5318047337278058E-2</v>
      </c>
      <c r="F22" s="12">
        <f>'UF Geral'!F22/'UF Geral'!F21-1</f>
        <v>1.868036968757858E-2</v>
      </c>
      <c r="G22" s="12">
        <f>'UF Geral'!G22/'UF Geral'!G21-1</f>
        <v>2.3033064623932731E-2</v>
      </c>
      <c r="H22" s="12">
        <f>'UF Geral'!H22/'UF Geral'!H21-1</f>
        <v>3.101389006419164E-2</v>
      </c>
      <c r="I22" s="12">
        <f>'UF Geral'!I22/'UF Geral'!I21-1</f>
        <v>2.5525053412343235E-2</v>
      </c>
      <c r="J22" s="12">
        <f>'UF Geral'!J22/'UF Geral'!J21-1</f>
        <v>2.2622159662175845E-2</v>
      </c>
      <c r="K22" s="12">
        <f>'UF Geral'!K22/'UF Geral'!K21-1</f>
        <v>2.0524010023353689E-2</v>
      </c>
      <c r="L22" s="12">
        <f>'UF Geral'!L22/'UF Geral'!L21-1</f>
        <v>2.7685197594666144E-2</v>
      </c>
      <c r="M22" s="12">
        <f>'UF Geral'!M22/'UF Geral'!M21-1</f>
        <v>3.162598491364399E-2</v>
      </c>
      <c r="N22" s="12">
        <f>'UF Geral'!N22/'UF Geral'!N21-1</f>
        <v>2.5660969679132783E-2</v>
      </c>
      <c r="O22" s="12">
        <f>'UF Geral'!O22/'UF Geral'!O21-1</f>
        <v>2.5195901145268262E-2</v>
      </c>
      <c r="P22" s="12">
        <f>'UF Geral'!P22/'UF Geral'!P21-1</f>
        <v>2.5347341490281616E-2</v>
      </c>
      <c r="Q22" s="12">
        <f>'UF Geral'!Q22/'UF Geral'!Q21-1</f>
        <v>2.311292285468336E-2</v>
      </c>
      <c r="R22" s="12">
        <f>'UF Geral'!R22/'UF Geral'!R21-1</f>
        <v>2.1600859078143131E-2</v>
      </c>
      <c r="S22" s="12">
        <f>'UF Geral'!S22/'UF Geral'!S21-1</f>
        <v>2.8181760781259779E-2</v>
      </c>
      <c r="T22" s="12">
        <f>'UF Geral'!T22/'UF Geral'!T21-1</f>
        <v>3.2024914619284806E-2</v>
      </c>
      <c r="U22" s="12">
        <f>'UF Geral'!U22/'UF Geral'!U21-1</f>
        <v>3.0225563909774378E-2</v>
      </c>
      <c r="V22" s="12">
        <f>'UF Geral'!V22/'UF Geral'!V21-1</f>
        <v>-7.6962063334151676E-4</v>
      </c>
      <c r="W22" s="12">
        <f>'UF Geral'!W22/'UF Geral'!W21-1</f>
        <v>3.2598714416896213E-2</v>
      </c>
      <c r="X22" s="12">
        <f>'UF Geral'!X22/'UF Geral'!X21-1</f>
        <v>3.3967563191053207E-2</v>
      </c>
      <c r="Y22" s="12">
        <f>'UF Geral'!Y22/'UF Geral'!Y21-1</f>
        <v>2.8059326478587998E-2</v>
      </c>
      <c r="Z22" s="12">
        <f>'UF Geral'!Z22/'UF Geral'!Z21-1</f>
        <v>1.6485735325557638E-2</v>
      </c>
      <c r="AA22" s="12">
        <f>'UF Geral'!AA22/'UF Geral'!AA21-1</f>
        <v>1.8643996833985543E-2</v>
      </c>
      <c r="AB22" s="12">
        <f>'UF Geral'!AB22/'UF Geral'!AB21-1</f>
        <v>3.9061540351308155E-2</v>
      </c>
      <c r="AC22" s="13">
        <f>'UF Geral'!AC22/'UF Geral'!AC21-1</f>
        <v>2.757737685549988E-2</v>
      </c>
      <c r="AD22" s="27"/>
      <c r="AE22" s="26"/>
    </row>
    <row r="23" spans="1:31" x14ac:dyDescent="0.35">
      <c r="A23" s="17">
        <f>'UF Geral'!A23</f>
        <v>45870</v>
      </c>
      <c r="B23" s="12">
        <f>'UF Geral'!B23/'UF Geral'!B22-1</f>
        <v>1.7659755379684672E-2</v>
      </c>
      <c r="C23" s="12">
        <f>'UF Geral'!C23/'UF Geral'!C22-1</f>
        <v>-0.15213384014950226</v>
      </c>
      <c r="D23" s="12">
        <f>'UF Geral'!D23/'UF Geral'!D22-1</f>
        <v>4.5768778399235099E-2</v>
      </c>
      <c r="E23" s="12">
        <f>'UF Geral'!E23/'UF Geral'!E22-1</f>
        <v>1.3514318032981976E-2</v>
      </c>
      <c r="F23" s="12">
        <f>'UF Geral'!F23/'UF Geral'!F22-1</f>
        <v>1.5232409227827759E-2</v>
      </c>
      <c r="G23" s="12">
        <f>'UF Geral'!G23/'UF Geral'!G22-1</f>
        <v>2.0906715146006061E-2</v>
      </c>
      <c r="H23" s="12">
        <f>'UF Geral'!H23/'UF Geral'!H22-1</f>
        <v>1.7089457299807043E-2</v>
      </c>
      <c r="I23" s="12">
        <f>'UF Geral'!I23/'UF Geral'!I22-1</f>
        <v>1.1682298095140764E-2</v>
      </c>
      <c r="J23" s="12">
        <f>'UF Geral'!J23/'UF Geral'!J22-1</f>
        <v>1.3711368924720579E-2</v>
      </c>
      <c r="K23" s="12">
        <f>'UF Geral'!K23/'UF Geral'!K22-1</f>
        <v>1.4966509095160951E-2</v>
      </c>
      <c r="L23" s="12">
        <f>'UF Geral'!L23/'UF Geral'!L22-1</f>
        <v>1.9227875475251066E-2</v>
      </c>
      <c r="M23" s="12">
        <f>'UF Geral'!M23/'UF Geral'!M22-1</f>
        <v>2.2750359367513129E-2</v>
      </c>
      <c r="N23" s="12">
        <f>'UF Geral'!N23/'UF Geral'!N22-1</f>
        <v>1.1710129877228193E-2</v>
      </c>
      <c r="O23" s="12">
        <f>'UF Geral'!O23/'UF Geral'!O22-1</f>
        <v>2.4772656005017213E-2</v>
      </c>
      <c r="P23" s="12">
        <f>'UF Geral'!P23/'UF Geral'!P22-1</f>
        <v>2.2260214631441455E-2</v>
      </c>
      <c r="Q23" s="12">
        <f>'UF Geral'!Q23/'UF Geral'!Q22-1</f>
        <v>1.4448044098447799E-2</v>
      </c>
      <c r="R23" s="12">
        <f>'UF Geral'!R23/'UF Geral'!R22-1</f>
        <v>1.7040630685263736E-2</v>
      </c>
      <c r="S23" s="12">
        <f>'UF Geral'!S23/'UF Geral'!S22-1</f>
        <v>1.2668877425694003E-2</v>
      </c>
      <c r="T23" s="12">
        <f>'UF Geral'!T23/'UF Geral'!T22-1</f>
        <v>1.8402054942299406E-2</v>
      </c>
      <c r="U23" s="12">
        <f>'UF Geral'!U23/'UF Geral'!U22-1</f>
        <v>1.5764122025981653E-2</v>
      </c>
      <c r="V23" s="12">
        <f>'UF Geral'!V23/'UF Geral'!V22-1</f>
        <v>1.2323414487526385E-2</v>
      </c>
      <c r="W23" s="12">
        <f>'UF Geral'!W23/'UF Geral'!W22-1</f>
        <v>2.0542463317029691E-2</v>
      </c>
      <c r="X23" s="12">
        <f>'UF Geral'!X23/'UF Geral'!X22-1</f>
        <v>2.404962621282003E-2</v>
      </c>
      <c r="Y23" s="12">
        <f>'UF Geral'!Y23/'UF Geral'!Y22-1</f>
        <v>1.9469079044935445E-2</v>
      </c>
      <c r="Z23" s="12">
        <f>'UF Geral'!Z23/'UF Geral'!Z22-1</f>
        <v>1.6732490476969453E-2</v>
      </c>
      <c r="AA23" s="12">
        <f>'UF Geral'!AA23/'UF Geral'!AA22-1</f>
        <v>1.2171177018149626E-2</v>
      </c>
      <c r="AB23" s="12">
        <f>'UF Geral'!AB23/'UF Geral'!AB22-1</f>
        <v>4.1494266461756801E-2</v>
      </c>
      <c r="AC23" s="13">
        <f>'UF Geral'!AC23/'UF Geral'!AC22-1</f>
        <v>1.4663841181429715E-2</v>
      </c>
      <c r="AD23" s="27"/>
      <c r="AE23" s="26"/>
    </row>
    <row r="24" spans="1:31" x14ac:dyDescent="0.35">
      <c r="A24" s="17">
        <f>'UF Geral'!A24</f>
        <v>45901</v>
      </c>
      <c r="B24" s="12">
        <f>'UF Geral'!B24/'UF Geral'!B23-1</f>
        <v>3.3806799922874164E-2</v>
      </c>
      <c r="C24" s="12">
        <f>'UF Geral'!C24/'UF Geral'!C23-1</f>
        <v>6.243440189522298E-2</v>
      </c>
      <c r="D24" s="12">
        <f>'UF Geral'!D24/'UF Geral'!D23-1</f>
        <v>2.9994336111335951E-2</v>
      </c>
      <c r="E24" s="12">
        <f>'UF Geral'!E24/'UF Geral'!E23-1</f>
        <v>2.5963345864661758E-2</v>
      </c>
      <c r="F24" s="12">
        <f>'UF Geral'!F24/'UF Geral'!F23-1</f>
        <v>2.9735307790934806E-2</v>
      </c>
      <c r="G24" s="12">
        <f>'UF Geral'!G24/'UF Geral'!G23-1</f>
        <v>3.5253199777406818E-2</v>
      </c>
      <c r="H24" s="12">
        <f>'UF Geral'!H24/'UF Geral'!H23-1</f>
        <v>3.4924605736419867E-2</v>
      </c>
      <c r="I24" s="12">
        <f>'UF Geral'!I24/'UF Geral'!I23-1</f>
        <v>1.3886406552332309E-2</v>
      </c>
      <c r="J24" s="12">
        <f>'UF Geral'!J24/'UF Geral'!J23-1</f>
        <v>2.5435338713523103E-2</v>
      </c>
      <c r="K24" s="12">
        <f>'UF Geral'!K24/'UF Geral'!K23-1</f>
        <v>2.6521073679706353E-2</v>
      </c>
      <c r="L24" s="12">
        <f>'UF Geral'!L24/'UF Geral'!L23-1</f>
        <v>4.24827687055509E-2</v>
      </c>
      <c r="M24" s="12">
        <f>'UF Geral'!M24/'UF Geral'!M23-1</f>
        <v>4.3270492110490721E-2</v>
      </c>
      <c r="N24" s="12">
        <f>'UF Geral'!N24/'UF Geral'!N23-1</f>
        <v>2.8882451057852698E-2</v>
      </c>
      <c r="O24" s="12">
        <f>'UF Geral'!O24/'UF Geral'!O23-1</f>
        <v>2.8381272949816294E-2</v>
      </c>
      <c r="P24" s="12">
        <f>'UF Geral'!P24/'UF Geral'!P23-1</f>
        <v>3.7381065382963818E-2</v>
      </c>
      <c r="Q24" s="12">
        <f>'UF Geral'!Q24/'UF Geral'!Q23-1</f>
        <v>2.7149925166112254E-2</v>
      </c>
      <c r="R24" s="12">
        <f>'UF Geral'!R24/'UF Geral'!R23-1</f>
        <v>2.5500367698209292E-2</v>
      </c>
      <c r="S24" s="12">
        <f>'UF Geral'!S24/'UF Geral'!S23-1</f>
        <v>3.384818145616908E-2</v>
      </c>
      <c r="T24" s="12">
        <f>'UF Geral'!T24/'UF Geral'!T23-1</f>
        <v>3.7510431891024432E-2</v>
      </c>
      <c r="U24" s="12">
        <f>'UF Geral'!U24/'UF Geral'!U23-1</f>
        <v>3.2020884226660939E-2</v>
      </c>
      <c r="V24" s="12">
        <f>'UF Geral'!V24/'UF Geral'!V23-1</f>
        <v>2.3585956057007085E-2</v>
      </c>
      <c r="W24" s="12">
        <f>'UF Geral'!W24/'UF Geral'!W23-1</f>
        <v>4.0693621470895724E-2</v>
      </c>
      <c r="X24" s="12">
        <f>'UF Geral'!X24/'UF Geral'!X23-1</f>
        <v>4.4854868656552416E-2</v>
      </c>
      <c r="Y24" s="12">
        <f>'UF Geral'!Y24/'UF Geral'!Y23-1</f>
        <v>3.359188162251181E-2</v>
      </c>
      <c r="Z24" s="12">
        <f>'UF Geral'!Z24/'UF Geral'!Z23-1</f>
        <v>1.1860160433953215E-2</v>
      </c>
      <c r="AA24" s="12">
        <f>'UF Geral'!AA24/'UF Geral'!AA23-1</f>
        <v>3.0985000396405615E-2</v>
      </c>
      <c r="AB24" s="12">
        <f>'UF Geral'!AB24/'UF Geral'!AB23-1</f>
        <v>0.11744230041619375</v>
      </c>
      <c r="AC24" s="13">
        <f>'UF Geral'!AC24/'UF Geral'!AC23-1</f>
        <v>3.4005512560104867E-2</v>
      </c>
      <c r="AD24" s="27"/>
      <c r="AE24" s="26"/>
    </row>
    <row r="25" spans="1:31" x14ac:dyDescent="0.35">
      <c r="A25" s="17">
        <f>'UF Geral'!A25</f>
        <v>45931</v>
      </c>
      <c r="B25" s="12">
        <f>'UF Geral'!B25/'UF Geral'!B24-1</f>
        <v>2.7914205781784274E-2</v>
      </c>
      <c r="C25" s="12">
        <f>'UF Geral'!C25/'UF Geral'!C24-1</f>
        <v>3.8386632419769029E-2</v>
      </c>
      <c r="D25" s="12">
        <f>'UF Geral'!D25/'UF Geral'!D24-1</f>
        <v>3.5593926015538457E-2</v>
      </c>
      <c r="E25" s="12">
        <f>'UF Geral'!E25/'UF Geral'!E24-1</f>
        <v>9.1091263025306235E-2</v>
      </c>
      <c r="F25" s="12">
        <f>'UF Geral'!F25/'UF Geral'!F24-1</f>
        <v>3.2356112780549617E-2</v>
      </c>
      <c r="G25" s="12">
        <f>'UF Geral'!G25/'UF Geral'!G24-1</f>
        <v>3.5450318488456478E-2</v>
      </c>
      <c r="H25" s="12">
        <f>'UF Geral'!H25/'UF Geral'!H24-1</f>
        <v>4.1331796131375054E-2</v>
      </c>
      <c r="I25" s="12">
        <f>'UF Geral'!I25/'UF Geral'!I24-1</f>
        <v>2.3108052178978156E-2</v>
      </c>
      <c r="J25" s="12">
        <f>'UF Geral'!J25/'UF Geral'!J24-1</f>
        <v>3.4542552562611961E-2</v>
      </c>
      <c r="K25" s="12">
        <f>'UF Geral'!K25/'UF Geral'!K24-1</f>
        <v>2.1819814186887276E-2</v>
      </c>
      <c r="L25" s="12">
        <f>'UF Geral'!L25/'UF Geral'!L24-1</f>
        <v>4.2414555852283486E-2</v>
      </c>
      <c r="M25" s="12">
        <f>'UF Geral'!M25/'UF Geral'!M24-1</f>
        <v>3.4793698694113528E-2</v>
      </c>
      <c r="N25" s="12">
        <f>'UF Geral'!N25/'UF Geral'!N24-1</f>
        <v>3.4602257810449011E-2</v>
      </c>
      <c r="O25" s="12">
        <f>'UF Geral'!O25/'UF Geral'!O24-1</f>
        <v>2.9760576401951067E-2</v>
      </c>
      <c r="P25" s="12">
        <f>'UF Geral'!P25/'UF Geral'!P24-1</f>
        <v>4.3049171042025325E-2</v>
      </c>
      <c r="Q25" s="12">
        <f>'UF Geral'!Q25/'UF Geral'!Q24-1</f>
        <v>3.9267914651916147E-2</v>
      </c>
      <c r="R25" s="12">
        <f>'UF Geral'!R25/'UF Geral'!R24-1</f>
        <v>3.56422978525468E-2</v>
      </c>
      <c r="S25" s="12">
        <f>'UF Geral'!S25/'UF Geral'!S24-1</f>
        <v>3.2233592854880477E-2</v>
      </c>
      <c r="T25" s="12">
        <f>'UF Geral'!T25/'UF Geral'!T24-1</f>
        <v>4.3864163480655582E-2</v>
      </c>
      <c r="U25" s="12">
        <f>'UF Geral'!U25/'UF Geral'!U24-1</f>
        <v>3.5680304471931601E-2</v>
      </c>
      <c r="V25" s="12">
        <f>'UF Geral'!V25/'UF Geral'!V24-1</f>
        <v>3.3267463151978927E-2</v>
      </c>
      <c r="W25" s="12">
        <f>'UF Geral'!W25/'UF Geral'!W24-1</f>
        <v>4.0944486309972383E-2</v>
      </c>
      <c r="X25" s="12">
        <f>'UF Geral'!X25/'UF Geral'!X24-1</f>
        <v>4.084125016580753E-2</v>
      </c>
      <c r="Y25" s="12">
        <f>'UF Geral'!Y25/'UF Geral'!Y24-1</f>
        <v>3.4918088160783567E-2</v>
      </c>
      <c r="Z25" s="12">
        <f>'UF Geral'!Z25/'UF Geral'!Z24-1</f>
        <v>2.846239465733813E-2</v>
      </c>
      <c r="AA25" s="12">
        <f>'UF Geral'!AA25/'UF Geral'!AA24-1</f>
        <v>2.6307142101555492E-2</v>
      </c>
      <c r="AB25" s="12">
        <f>'UF Geral'!AB25/'UF Geral'!AB24-1</f>
        <v>4.4254080043339972E-2</v>
      </c>
      <c r="AC25" s="13">
        <f>'UF Geral'!AC25/'UF Geral'!AC24-1</f>
        <v>3.3610536963535109E-2</v>
      </c>
      <c r="AD25" s="27"/>
      <c r="AE25" s="26"/>
    </row>
    <row r="26" spans="1:31" x14ac:dyDescent="0.35">
      <c r="A26" s="17">
        <f>'UF Geral'!A26</f>
        <v>45962</v>
      </c>
      <c r="B26" s="12">
        <f>'UF Geral'!B26/'UF Geral'!B25-1</f>
        <v>4.3304705455425196E-2</v>
      </c>
      <c r="C26" s="12">
        <f>'UF Geral'!C26/'UF Geral'!C25-1</f>
        <v>2.6312212889722408E-2</v>
      </c>
      <c r="D26" s="12">
        <f>'UF Geral'!D26/'UF Geral'!D25-1</f>
        <v>2.3955457110780731E-2</v>
      </c>
      <c r="E26" s="12">
        <f>'UF Geral'!E26/'UF Geral'!E25-1</f>
        <v>8.0390407724195923E-2</v>
      </c>
      <c r="F26" s="12">
        <f>'UF Geral'!F26/'UF Geral'!F25-1</f>
        <v>2.1810159690479614E-2</v>
      </c>
      <c r="G26" s="12">
        <f>'UF Geral'!G26/'UF Geral'!G25-1</f>
        <v>2.4108394331101124E-2</v>
      </c>
      <c r="H26" s="12">
        <f>'UF Geral'!H26/'UF Geral'!H25-1</f>
        <v>2.7699927260279811E-2</v>
      </c>
      <c r="I26" s="12">
        <f>'UF Geral'!I26/'UF Geral'!I25-1</f>
        <v>5.618440470750441E-3</v>
      </c>
      <c r="J26" s="12">
        <f>'UF Geral'!J26/'UF Geral'!J25-1</f>
        <v>2.4178126547560019E-2</v>
      </c>
      <c r="K26" s="12">
        <f>'UF Geral'!K26/'UF Geral'!K25-1</f>
        <v>1.3752147547285265E-2</v>
      </c>
      <c r="L26" s="12">
        <f>'UF Geral'!L26/'UF Geral'!L25-1</f>
        <v>2.9742504208356779E-2</v>
      </c>
      <c r="M26" s="12">
        <f>'UF Geral'!M26/'UF Geral'!M25-1</f>
        <v>3.5732884321622027E-2</v>
      </c>
      <c r="N26" s="12">
        <f>'UF Geral'!N26/'UF Geral'!N25-1</f>
        <v>1.8600284206252482E-2</v>
      </c>
      <c r="O26" s="12">
        <f>'UF Geral'!O26/'UF Geral'!O25-1</f>
        <v>2.7858185889795273E-2</v>
      </c>
      <c r="P26" s="12">
        <f>'UF Geral'!P26/'UF Geral'!P25-1</f>
        <v>2.3706581448294628E-2</v>
      </c>
      <c r="Q26" s="12">
        <f>'UF Geral'!Q26/'UF Geral'!Q25-1</f>
        <v>3.3725374627158855E-2</v>
      </c>
      <c r="R26" s="12">
        <f>'UF Geral'!R26/'UF Geral'!R25-1</f>
        <v>2.4609338448582374E-2</v>
      </c>
      <c r="S26" s="12">
        <f>'UF Geral'!S26/'UF Geral'!S25-1</f>
        <v>2.7508807819070391E-2</v>
      </c>
      <c r="T26" s="12">
        <f>'UF Geral'!T26/'UF Geral'!T25-1</f>
        <v>2.852988798202416E-2</v>
      </c>
      <c r="U26" s="12">
        <f>'UF Geral'!U26/'UF Geral'!U25-1</f>
        <v>2.0278521572537622E-2</v>
      </c>
      <c r="V26" s="12">
        <f>'UF Geral'!V26/'UF Geral'!V25-1</f>
        <v>2.0230199670140614E-2</v>
      </c>
      <c r="W26" s="12">
        <f>'UF Geral'!W26/'UF Geral'!W25-1</f>
        <v>3.4588159588159639E-2</v>
      </c>
      <c r="X26" s="12">
        <f>'UF Geral'!X26/'UF Geral'!X25-1</f>
        <v>2.3007523422805765E-2</v>
      </c>
      <c r="Y26" s="12">
        <f>'UF Geral'!Y26/'UF Geral'!Y25-1</f>
        <v>1.9765275454557862E-2</v>
      </c>
      <c r="Z26" s="12">
        <f>'UF Geral'!Z26/'UF Geral'!Z25-1</f>
        <v>-3.9756162205140111E-4</v>
      </c>
      <c r="AA26" s="12">
        <f>'UF Geral'!AA26/'UF Geral'!AA25-1</f>
        <v>2.3595889597348041E-2</v>
      </c>
      <c r="AB26" s="12">
        <f>'UF Geral'!AB26/'UF Geral'!AB25-1</f>
        <v>2.3864336435264644E-2</v>
      </c>
      <c r="AC26" s="13">
        <f>'UF Geral'!AC26/'UF Geral'!AC25-1</f>
        <v>2.4763233172268695E-2</v>
      </c>
      <c r="AD26" s="27"/>
      <c r="AE26" s="26"/>
    </row>
    <row r="27" spans="1:31" x14ac:dyDescent="0.35">
      <c r="A27" s="19">
        <f>'UF Geral'!A27</f>
        <v>45992</v>
      </c>
      <c r="B27" s="21">
        <f>'UF Geral'!B27/'UF Geral'!B26-1</f>
        <v>-3.6521739130435105E-3</v>
      </c>
      <c r="C27" s="21">
        <f>'UF Geral'!C27/'UF Geral'!C26-1</f>
        <v>8.3693090023042593E-3</v>
      </c>
      <c r="D27" s="21">
        <f>'UF Geral'!D27/'UF Geral'!D26-1</f>
        <v>9.852873631339687E-4</v>
      </c>
      <c r="E27" s="21">
        <f>'UF Geral'!E27/'UF Geral'!E26-1</f>
        <v>5.7409296226140105E-2</v>
      </c>
      <c r="F27" s="21">
        <f>'UF Geral'!F27/'UF Geral'!F26-1</f>
        <v>7.7091460239833154E-3</v>
      </c>
      <c r="G27" s="21">
        <f>'UF Geral'!G27/'UF Geral'!G26-1</f>
        <v>1.429990774253076E-2</v>
      </c>
      <c r="H27" s="21">
        <f>'UF Geral'!H27/'UF Geral'!H26-1</f>
        <v>1.4582585208199994E-2</v>
      </c>
      <c r="I27" s="21">
        <f>'UF Geral'!I27/'UF Geral'!I26-1</f>
        <v>2.3018645848076336E-3</v>
      </c>
      <c r="J27" s="21">
        <f>'UF Geral'!J27/'UF Geral'!J26-1</f>
        <v>1.3096181241329052E-2</v>
      </c>
      <c r="K27" s="21">
        <f>'UF Geral'!K27/'UF Geral'!K26-1</f>
        <v>1.0988670835138992E-2</v>
      </c>
      <c r="L27" s="21">
        <f>'UF Geral'!L27/'UF Geral'!L26-1</f>
        <v>1.348991146617351E-2</v>
      </c>
      <c r="M27" s="21">
        <f>'UF Geral'!M27/'UF Geral'!M26-1</f>
        <v>1.4145290908633923E-2</v>
      </c>
      <c r="N27" s="21">
        <f>'UF Geral'!N27/'UF Geral'!N26-1</f>
        <v>1.0126803019356867E-2</v>
      </c>
      <c r="O27" s="21">
        <f>'UF Geral'!O27/'UF Geral'!O26-1</f>
        <v>7.4647844901154503E-3</v>
      </c>
      <c r="P27" s="21">
        <f>'UF Geral'!P27/'UF Geral'!P26-1</f>
        <v>9.0794091242960562E-3</v>
      </c>
      <c r="Q27" s="21">
        <f>'UF Geral'!Q27/'UF Geral'!Q26-1</f>
        <v>-4.0041639849854871E-3</v>
      </c>
      <c r="R27" s="21">
        <f>'UF Geral'!R27/'UF Geral'!R26-1</f>
        <v>6.8858447488584495E-3</v>
      </c>
      <c r="S27" s="21">
        <f>'UF Geral'!S27/'UF Geral'!S26-1</f>
        <v>5.6925541465500107E-3</v>
      </c>
      <c r="T27" s="21">
        <f>'UF Geral'!T27/'UF Geral'!T26-1</f>
        <v>1.855530996196153E-2</v>
      </c>
      <c r="U27" s="21">
        <f>'UF Geral'!U27/'UF Geral'!U26-1</f>
        <v>1.0234223154380828E-2</v>
      </c>
      <c r="V27" s="21">
        <f>'UF Geral'!V27/'UF Geral'!V26-1</f>
        <v>5.4860955853268667E-3</v>
      </c>
      <c r="W27" s="21">
        <f>'UF Geral'!W27/'UF Geral'!W26-1</f>
        <v>1.4072461514538892E-2</v>
      </c>
      <c r="X27" s="21">
        <f>'UF Geral'!X27/'UF Geral'!X26-1</f>
        <v>9.3688987785207622E-3</v>
      </c>
      <c r="Y27" s="21">
        <f>'UF Geral'!Y27/'UF Geral'!Y26-1</f>
        <v>1.4669326704575658E-2</v>
      </c>
      <c r="Z27" s="21">
        <f>'UF Geral'!Z27/'UF Geral'!Z26-1</f>
        <v>4.8168279641167544E-3</v>
      </c>
      <c r="AA27" s="21">
        <f>'UF Geral'!AA27/'UF Geral'!AA26-1</f>
        <v>5.6667581965355041E-3</v>
      </c>
      <c r="AB27" s="21">
        <f>'UF Geral'!AB27/'UF Geral'!AB26-1</f>
        <v>9.5797574183740242E-3</v>
      </c>
      <c r="AC27" s="22">
        <f>'UF Geral'!AC27/'UF Geral'!AC26-1</f>
        <v>9.1330160380678205E-3</v>
      </c>
      <c r="AD27" s="27"/>
      <c r="AE27" s="26"/>
    </row>
    <row r="28" spans="1:31" x14ac:dyDescent="0.35">
      <c r="A28" s="16">
        <f>'UF Geral'!A28</f>
        <v>46023</v>
      </c>
      <c r="B28" s="14">
        <f>'UF Geral'!B28/'UF Geral'!B27-1</f>
        <v>-0.24250887298539592</v>
      </c>
      <c r="C28" s="14">
        <f>'UF Geral'!C28/'UF Geral'!C27-1</f>
        <v>-0.19064691513671106</v>
      </c>
      <c r="D28" s="14">
        <f>'UF Geral'!D28/'UF Geral'!D27-1</f>
        <v>6.6903988336206588E-3</v>
      </c>
      <c r="E28" s="14">
        <f>'UF Geral'!E28/'UF Geral'!E27-1</f>
        <v>-0.31822148729961874</v>
      </c>
      <c r="F28" s="14">
        <f>'UF Geral'!F28/'UF Geral'!F27-1</f>
        <v>-0.16494934602951317</v>
      </c>
      <c r="G28" s="14">
        <f>'UF Geral'!G28/'UF Geral'!G27-1</f>
        <v>-0.13087283540318351</v>
      </c>
      <c r="H28" s="14">
        <f>'UF Geral'!H28/'UF Geral'!H27-1</f>
        <v>5.3070290178456991E-2</v>
      </c>
      <c r="I28" s="14">
        <f>'UF Geral'!I28/'UF Geral'!I27-1</f>
        <v>-6.2691381514403788E-2</v>
      </c>
      <c r="J28" s="14">
        <f>'UF Geral'!J28/'UF Geral'!J27-1</f>
        <v>-0.16673152750956388</v>
      </c>
      <c r="K28" s="14">
        <f>'UF Geral'!K28/'UF Geral'!K27-1</f>
        <v>-0.22484767765836933</v>
      </c>
      <c r="L28" s="14">
        <f>'UF Geral'!L28/'UF Geral'!L27-1</f>
        <v>1.0608859519706471E-2</v>
      </c>
      <c r="M28" s="14">
        <f>'UF Geral'!M28/'UF Geral'!M27-1</f>
        <v>1.370010163525337E-2</v>
      </c>
      <c r="N28" s="14">
        <f>'UF Geral'!N28/'UF Geral'!N27-1</f>
        <v>1.4458351316357421E-2</v>
      </c>
      <c r="O28" s="14">
        <f>'UF Geral'!O28/'UF Geral'!O27-1</f>
        <v>-0.16056186437722042</v>
      </c>
      <c r="P28" s="14">
        <f>'UF Geral'!P28/'UF Geral'!P27-1</f>
        <v>-0.1402026002385911</v>
      </c>
      <c r="Q28" s="14">
        <f>'UF Geral'!Q28/'UF Geral'!Q27-1</f>
        <v>-0.13873589438898093</v>
      </c>
      <c r="R28" s="14">
        <f>'UF Geral'!R28/'UF Geral'!R27-1</f>
        <v>-3.5354726359134392E-2</v>
      </c>
      <c r="S28" s="14">
        <f>'UF Geral'!S28/'UF Geral'!S27-1</f>
        <v>1.2396641193948899E-2</v>
      </c>
      <c r="T28" s="14">
        <f>'UF Geral'!T28/'UF Geral'!T27-1</f>
        <v>8.9578715087956784E-3</v>
      </c>
      <c r="U28" s="14">
        <f>'UF Geral'!U28/'UF Geral'!U27-1</f>
        <v>-7.5294296677137829E-2</v>
      </c>
      <c r="V28" s="14">
        <f>'UF Geral'!V28/'UF Geral'!V27-1</f>
        <v>5.9419149591215303E-2</v>
      </c>
      <c r="W28" s="14">
        <f>'UF Geral'!W28/'UF Geral'!W27-1</f>
        <v>-0.23230851797899255</v>
      </c>
      <c r="X28" s="14">
        <f>'UF Geral'!X28/'UF Geral'!X27-1</f>
        <v>1.0684229005522017E-2</v>
      </c>
      <c r="Y28" s="14">
        <f>'UF Geral'!Y28/'UF Geral'!Y27-1</f>
        <v>1.7595785843462108E-2</v>
      </c>
      <c r="Z28" s="14">
        <f>'UF Geral'!Z28/'UF Geral'!Z27-1</f>
        <v>-0.16070014952942213</v>
      </c>
      <c r="AA28" s="14">
        <f>'UF Geral'!AA28/'UF Geral'!AA27-1</f>
        <v>9.8000541823943799E-3</v>
      </c>
      <c r="AB28" s="14">
        <f>'UF Geral'!AB28/'UF Geral'!AB27-1</f>
        <v>1.5339010963158151E-2</v>
      </c>
      <c r="AC28" s="15">
        <f>'UF Geral'!AC28/'UF Geral'!AC27-1</f>
        <v>-2.490847469424351E-2</v>
      </c>
      <c r="AD28" s="27"/>
      <c r="AE28" s="26"/>
    </row>
    <row r="29" spans="1:31" x14ac:dyDescent="0.35">
      <c r="A29" s="17">
        <f>'UF Geral'!A29</f>
        <v>46054</v>
      </c>
      <c r="B29" s="12">
        <f>'UF Geral'!B29/'UF Geral'!B28-1</f>
        <v>5.2231354174667732E-3</v>
      </c>
      <c r="C29" s="12">
        <f>'UF Geral'!C29/'UF Geral'!C28-1</f>
        <v>7.1070437618654392E-3</v>
      </c>
      <c r="D29" s="12">
        <f>'UF Geral'!D29/'UF Geral'!D28-1</f>
        <v>1.8533630341927454E-2</v>
      </c>
      <c r="E29" s="12">
        <f>'UF Geral'!E29/'UF Geral'!E28-1</f>
        <v>2.5601293539041503E-3</v>
      </c>
      <c r="F29" s="12">
        <f>'UF Geral'!F29/'UF Geral'!F28-1</f>
        <v>7.1852252590796084E-3</v>
      </c>
      <c r="G29" s="12">
        <f>'UF Geral'!G29/'UF Geral'!G28-1</f>
        <v>3.4098488856175724E-3</v>
      </c>
      <c r="H29" s="12">
        <f>'UF Geral'!H29/'UF Geral'!H28-1</f>
        <v>7.1019752064103159E-3</v>
      </c>
      <c r="I29" s="12">
        <f>'UF Geral'!I29/'UF Geral'!I28-1</f>
        <v>3.2034762474923983E-3</v>
      </c>
      <c r="J29" s="12">
        <f>'UF Geral'!J29/'UF Geral'!J28-1</f>
        <v>8.8956838970057905E-3</v>
      </c>
      <c r="K29" s="12">
        <f>'UF Geral'!K29/'UF Geral'!K28-1</f>
        <v>2.5871688275780347E-3</v>
      </c>
      <c r="L29" s="12">
        <f>'UF Geral'!L29/'UF Geral'!L28-1</f>
        <v>1.2725312121617316E-2</v>
      </c>
      <c r="M29" s="12">
        <f>'UF Geral'!M29/'UF Geral'!M28-1</f>
        <v>1.5373454299431932E-2</v>
      </c>
      <c r="N29" s="12">
        <f>'UF Geral'!N29/'UF Geral'!N28-1</f>
        <v>3.5165770200869195E-2</v>
      </c>
      <c r="O29" s="12">
        <f>'UF Geral'!O29/'UF Geral'!O28-1</f>
        <v>5.5263376586374147E-3</v>
      </c>
      <c r="P29" s="12">
        <f>'UF Geral'!P29/'UF Geral'!P28-1</f>
        <v>5.2324624320956303E-3</v>
      </c>
      <c r="Q29" s="12">
        <f>'UF Geral'!Q29/'UF Geral'!Q28-1</f>
        <v>1.0186714469867963E-2</v>
      </c>
      <c r="R29" s="12">
        <f>'UF Geral'!R29/'UF Geral'!R28-1</f>
        <v>1.0229794275828263E-2</v>
      </c>
      <c r="S29" s="12">
        <f>'UF Geral'!S29/'UF Geral'!S28-1</f>
        <v>1.4346911358394054E-2</v>
      </c>
      <c r="T29" s="12">
        <f>'UF Geral'!T29/'UF Geral'!T28-1</f>
        <v>1.294487050752835E-2</v>
      </c>
      <c r="U29" s="12">
        <f>'UF Geral'!U29/'UF Geral'!U28-1</f>
        <v>1.3282866277976257E-2</v>
      </c>
      <c r="V29" s="12">
        <f>'UF Geral'!V29/'UF Geral'!V28-1</f>
        <v>6.8453341943817136E-3</v>
      </c>
      <c r="W29" s="12">
        <f>'UF Geral'!W29/'UF Geral'!W28-1</f>
        <v>6.1919504643963563E-3</v>
      </c>
      <c r="X29" s="12">
        <f>'UF Geral'!X29/'UF Geral'!X28-1</f>
        <v>1.4059953765111599E-2</v>
      </c>
      <c r="Y29" s="12">
        <f>'UF Geral'!Y29/'UF Geral'!Y28-1</f>
        <v>1.5984459839948784E-2</v>
      </c>
      <c r="Z29" s="12">
        <f>'UF Geral'!Z29/'UF Geral'!Z28-1</f>
        <v>4.5063927897714962E-3</v>
      </c>
      <c r="AA29" s="12">
        <f>'UF Geral'!AA29/'UF Geral'!AA28-1</f>
        <v>9.9827216040426769E-3</v>
      </c>
      <c r="AB29" s="12">
        <f>'UF Geral'!AB29/'UF Geral'!AB28-1</f>
        <v>8.619491171972804E-3</v>
      </c>
      <c r="AC29" s="13">
        <f>'UF Geral'!AC29/'UF Geral'!AC28-1</f>
        <v>1.1320508102544702E-2</v>
      </c>
      <c r="AD29" s="27"/>
      <c r="AE29" s="26"/>
    </row>
    <row r="30" spans="1:31" x14ac:dyDescent="0.35">
      <c r="A30" s="17">
        <f>'UF Geral'!A30</f>
        <v>46082</v>
      </c>
      <c r="B30" s="12">
        <f>'UF Geral'!B30/'UF Geral'!B29-1</f>
        <v>7.7175823336135263E-3</v>
      </c>
      <c r="C30" s="12">
        <f>'UF Geral'!C30/'UF Geral'!C29-1</f>
        <v>-2.6133049768798267E-2</v>
      </c>
      <c r="D30" s="12">
        <f>'UF Geral'!D30/'UF Geral'!D29-1</f>
        <v>8.3150479270124311E-3</v>
      </c>
      <c r="E30" s="12">
        <f>'UF Geral'!E30/'UF Geral'!E29-1</f>
        <v>2.8895907533095233E-3</v>
      </c>
      <c r="F30" s="12">
        <f>'UF Geral'!F30/'UF Geral'!F29-1</f>
        <v>1.6500110965658177E-3</v>
      </c>
      <c r="G30" s="12">
        <f>'UF Geral'!G30/'UF Geral'!G29-1</f>
        <v>1.4767823680093439E-2</v>
      </c>
      <c r="H30" s="12">
        <f>'UF Geral'!H30/'UF Geral'!H29-1</f>
        <v>6.4956735815200339E-3</v>
      </c>
      <c r="I30" s="12">
        <f>'UF Geral'!I30/'UF Geral'!I29-1</f>
        <v>4.7898701360291618E-3</v>
      </c>
      <c r="J30" s="12">
        <f>'UF Geral'!J30/'UF Geral'!J29-1</f>
        <v>1.0223466370866019E-2</v>
      </c>
      <c r="K30" s="12">
        <f>'UF Geral'!K30/'UF Geral'!K29-1</f>
        <v>7.6035890516197302E-3</v>
      </c>
      <c r="L30" s="12">
        <f>'UF Geral'!L30/'UF Geral'!L29-1</f>
        <v>9.1469619149142645E-3</v>
      </c>
      <c r="M30" s="12">
        <f>'UF Geral'!M30/'UF Geral'!M29-1</f>
        <v>1.1568257536226145E-2</v>
      </c>
      <c r="N30" s="12">
        <f>'UF Geral'!N30/'UF Geral'!N29-1</f>
        <v>5.8184252088702149E-3</v>
      </c>
      <c r="O30" s="12">
        <f>'UF Geral'!O30/'UF Geral'!O29-1</f>
        <v>1.2538592773189583E-2</v>
      </c>
      <c r="P30" s="12">
        <f>'UF Geral'!P30/'UF Geral'!P29-1</f>
        <v>1.0854943795253202E-2</v>
      </c>
      <c r="Q30" s="12">
        <f>'UF Geral'!Q30/'UF Geral'!Q29-1</f>
        <v>-4.3865114772079217E-4</v>
      </c>
      <c r="R30" s="12">
        <f>'UF Geral'!R30/'UF Geral'!R29-1</f>
        <v>1.1540895722422784E-2</v>
      </c>
      <c r="S30" s="12">
        <f>'UF Geral'!S30/'UF Geral'!S29-1</f>
        <v>7.7306430481332011E-3</v>
      </c>
      <c r="T30" s="12">
        <f>'UF Geral'!T30/'UF Geral'!T29-1</f>
        <v>5.0132645969205303E-3</v>
      </c>
      <c r="U30" s="12">
        <f>'UF Geral'!U30/'UF Geral'!U29-1</f>
        <v>4.5126563188788715E-3</v>
      </c>
      <c r="V30" s="12">
        <f>'UF Geral'!V30/'UF Geral'!V29-1</f>
        <v>1.0775447373484681E-2</v>
      </c>
      <c r="W30" s="12">
        <f>'UF Geral'!W30/'UF Geral'!W29-1</f>
        <v>7.3449131513647625E-3</v>
      </c>
      <c r="X30" s="12">
        <f>'UF Geral'!X30/'UF Geral'!X29-1</f>
        <v>1.2123061846509131E-2</v>
      </c>
      <c r="Y30" s="12">
        <f>'UF Geral'!Y30/'UF Geral'!Y29-1</f>
        <v>1.3645585969479956E-2</v>
      </c>
      <c r="Z30" s="12">
        <f>'UF Geral'!Z30/'UF Geral'!Z29-1</f>
        <v>8.3463745435574666E-4</v>
      </c>
      <c r="AA30" s="12">
        <f>'UF Geral'!AA30/'UF Geral'!AA29-1</f>
        <v>4.0930857591461312E-3</v>
      </c>
      <c r="AB30" s="12">
        <f>'UF Geral'!AB30/'UF Geral'!AB29-1</f>
        <v>2.1640248104755289E-2</v>
      </c>
      <c r="AC30" s="13">
        <f>'UF Geral'!AC30/'UF Geral'!AC29-1</f>
        <v>6.5966165633162266E-3</v>
      </c>
      <c r="AD30" s="27"/>
      <c r="AE30" s="26"/>
    </row>
    <row r="31" spans="1:31" x14ac:dyDescent="0.35">
      <c r="A31" s="17">
        <f>'UF Geral'!A31</f>
        <v>46113</v>
      </c>
      <c r="B31" s="12">
        <f>'UF Geral'!B31/'UF Geral'!B30-1</f>
        <v>6.2177737336972516E-3</v>
      </c>
      <c r="C31" s="12">
        <f>'UF Geral'!C31/'UF Geral'!C30-1</f>
        <v>1.3251716436429861E-2</v>
      </c>
      <c r="D31" s="12">
        <f>'UF Geral'!D31/'UF Geral'!D30-1</f>
        <v>7.3015691215210232E-3</v>
      </c>
      <c r="E31" s="12">
        <f>'UF Geral'!E31/'UF Geral'!E30-1</f>
        <v>5.2934870008041202E-3</v>
      </c>
      <c r="F31" s="12">
        <f>'UF Geral'!F31/'UF Geral'!F30-1</f>
        <v>4.9515124269474686E-3</v>
      </c>
      <c r="G31" s="12">
        <f>'UF Geral'!G31/'UF Geral'!G30-1</f>
        <v>1.3400874191034529E-2</v>
      </c>
      <c r="H31" s="12">
        <f>'UF Geral'!H31/'UF Geral'!H30-1</f>
        <v>6.8381900661234063E-3</v>
      </c>
      <c r="I31" s="12">
        <f>'UF Geral'!I31/'UF Geral'!I30-1</f>
        <v>9.7150004326518324E-3</v>
      </c>
      <c r="J31" s="12">
        <f>'UF Geral'!J31/'UF Geral'!J30-1</f>
        <v>1.1192094205529912E-2</v>
      </c>
      <c r="K31" s="12">
        <f>'UF Geral'!K31/'UF Geral'!K30-1</f>
        <v>1.6959424454805916E-2</v>
      </c>
      <c r="L31" s="12">
        <f>'UF Geral'!L31/'UF Geral'!L30-1</f>
        <v>9.6162271883188932E-3</v>
      </c>
      <c r="M31" s="12">
        <f>'UF Geral'!M31/'UF Geral'!M30-1</f>
        <v>1.0761392314651674E-2</v>
      </c>
      <c r="N31" s="12">
        <f>'UF Geral'!N31/'UF Geral'!N30-1</f>
        <v>1.7424348557018687E-2</v>
      </c>
      <c r="O31" s="12">
        <f>'UF Geral'!O31/'UF Geral'!O30-1</f>
        <v>1.244745541362291E-2</v>
      </c>
      <c r="P31" s="12">
        <f>'UF Geral'!P31/'UF Geral'!P30-1</f>
        <v>2.5457364699892349E-3</v>
      </c>
      <c r="Q31" s="12">
        <f>'UF Geral'!Q31/'UF Geral'!Q30-1</f>
        <v>5.3509003775051855E-3</v>
      </c>
      <c r="R31" s="12">
        <f>'UF Geral'!R31/'UF Geral'!R30-1</f>
        <v>1.1482830959478774E-2</v>
      </c>
      <c r="S31" s="12">
        <f>'UF Geral'!S31/'UF Geral'!S30-1</f>
        <v>1.0978286090805645E-2</v>
      </c>
      <c r="T31" s="12">
        <f>'UF Geral'!T31/'UF Geral'!T30-1</f>
        <v>5.2486635745450094E-3</v>
      </c>
      <c r="U31" s="12">
        <f>'UF Geral'!U31/'UF Geral'!U30-1</f>
        <v>1.0058782090517582E-2</v>
      </c>
      <c r="V31" s="12">
        <f>'UF Geral'!V31/'UF Geral'!V30-1</f>
        <v>2.522368170569278E-3</v>
      </c>
      <c r="W31" s="12">
        <f>'UF Geral'!W31/'UF Geral'!W30-1</f>
        <v>1.3400335008375119E-2</v>
      </c>
      <c r="X31" s="12">
        <f>'UF Geral'!X31/'UF Geral'!X30-1</f>
        <v>1.5262070677336537E-2</v>
      </c>
      <c r="Y31" s="12">
        <f>'UF Geral'!Y31/'UF Geral'!Y30-1</f>
        <v>1.5583887870252111E-2</v>
      </c>
      <c r="Z31" s="12">
        <f>'UF Geral'!Z31/'UF Geral'!Z30-1</f>
        <v>9.6424476180547725E-3</v>
      </c>
      <c r="AA31" s="12">
        <f>'UF Geral'!AA31/'UF Geral'!AA30-1</f>
        <v>8.5726807301393926E-3</v>
      </c>
      <c r="AB31" s="12">
        <f>'UF Geral'!AB31/'UF Geral'!AB30-1</f>
        <v>1.4735863764466117E-2</v>
      </c>
      <c r="AC31" s="13">
        <f>'UF Geral'!AC31/'UF Geral'!AC30-1</f>
        <v>9.55279723518343E-3</v>
      </c>
      <c r="AD31" s="27"/>
      <c r="AE31" s="26"/>
    </row>
    <row r="32" spans="1:31" x14ac:dyDescent="0.35">
      <c r="A32" s="17">
        <f>'UF Geral'!A32</f>
        <v>46143</v>
      </c>
      <c r="B32" s="12">
        <f>'UF Geral'!B32/'UF Geral'!B31-1</f>
        <v>5.0489826676713978E-3</v>
      </c>
      <c r="C32" s="12">
        <f>'UF Geral'!C32/'UF Geral'!C31-1</f>
        <v>-6.9180028083466683E-2</v>
      </c>
      <c r="D32" s="12">
        <f>'UF Geral'!D32/'UF Geral'!D31-1</f>
        <v>6.1329202080786516E-3</v>
      </c>
      <c r="E32" s="12">
        <f>'UF Geral'!E32/'UF Geral'!E31-1</f>
        <v>5.7321868959541167E-3</v>
      </c>
      <c r="F32" s="12">
        <f>'UF Geral'!F32/'UF Geral'!F31-1</f>
        <v>4.1123203456010504E-3</v>
      </c>
      <c r="G32" s="12">
        <f>'UF Geral'!G32/'UF Geral'!G31-1</f>
        <v>6.0517912967885668E-3</v>
      </c>
      <c r="H32" s="12">
        <f>'UF Geral'!H32/'UF Geral'!H31-1</f>
        <v>9.2163479207136856E-3</v>
      </c>
      <c r="I32" s="12">
        <f>'UF Geral'!I32/'UF Geral'!I31-1</f>
        <v>-5.6872185605882919E-4</v>
      </c>
      <c r="J32" s="12">
        <f>'UF Geral'!J32/'UF Geral'!J31-1</f>
        <v>1.2273794102935609E-2</v>
      </c>
      <c r="K32" s="12">
        <f>'UF Geral'!K32/'UF Geral'!K31-1</f>
        <v>4.2100001922373842E-3</v>
      </c>
      <c r="L32" s="12">
        <f>'UF Geral'!L32/'UF Geral'!L31-1</f>
        <v>6.1860793596819619E-3</v>
      </c>
      <c r="M32" s="12">
        <f>'UF Geral'!M32/'UF Geral'!M31-1</f>
        <v>1.124354202980471E-2</v>
      </c>
      <c r="N32" s="12">
        <f>'UF Geral'!N32/'UF Geral'!N31-1</f>
        <v>9.9141121189694204E-3</v>
      </c>
      <c r="O32" s="12">
        <f>'UF Geral'!O32/'UF Geral'!O31-1</f>
        <v>6.6453217855990676E-3</v>
      </c>
      <c r="P32" s="12">
        <f>'UF Geral'!P32/'UF Geral'!P31-1</f>
        <v>4.0397511513301509E-4</v>
      </c>
      <c r="Q32" s="12">
        <f>'UF Geral'!Q32/'UF Geral'!Q31-1</f>
        <v>9.4047619047619158E-3</v>
      </c>
      <c r="R32" s="12">
        <f>'UF Geral'!R32/'UF Geral'!R31-1</f>
        <v>1.3644798602772124E-3</v>
      </c>
      <c r="S32" s="12">
        <f>'UF Geral'!S32/'UF Geral'!S31-1</f>
        <v>7.2639097915612183E-3</v>
      </c>
      <c r="T32" s="12">
        <f>'UF Geral'!T32/'UF Geral'!T31-1</f>
        <v>4.6872804364694876E-3</v>
      </c>
      <c r="U32" s="12">
        <f>'UF Geral'!U32/'UF Geral'!U31-1</f>
        <v>5.6596007408931115E-3</v>
      </c>
      <c r="V32" s="12">
        <f>'UF Geral'!V32/'UF Geral'!V31-1</f>
        <v>1.2073740011076861E-2</v>
      </c>
      <c r="W32" s="12">
        <f>'UF Geral'!W32/'UF Geral'!W31-1</f>
        <v>8.1672338356830743E-3</v>
      </c>
      <c r="X32" s="12">
        <f>'UF Geral'!X32/'UF Geral'!X31-1</f>
        <v>8.6700355408821927E-3</v>
      </c>
      <c r="Y32" s="12">
        <f>'UF Geral'!Y32/'UF Geral'!Y31-1</f>
        <v>1.5342287117122044E-2</v>
      </c>
      <c r="Z32" s="12">
        <f>'UF Geral'!Z32/'UF Geral'!Z31-1</f>
        <v>2.1423777812192846E-3</v>
      </c>
      <c r="AA32" s="12">
        <f>'UF Geral'!AA32/'UF Geral'!AA31-1</f>
        <v>6.256001006570644E-3</v>
      </c>
      <c r="AB32" s="12">
        <f>'UF Geral'!AB32/'UF Geral'!AB31-1</f>
        <v>2.508457549748111E-2</v>
      </c>
      <c r="AC32" s="13">
        <f>'UF Geral'!AC32/'UF Geral'!AC31-1</f>
        <v>6.5289196953906004E-3</v>
      </c>
      <c r="AD32" s="27"/>
      <c r="AE32" s="26"/>
    </row>
    <row r="33" spans="1:31" x14ac:dyDescent="0.35">
      <c r="A33" s="17">
        <f>'UF Geral'!A33</f>
        <v>46174</v>
      </c>
      <c r="B33" s="12">
        <f>'UF Geral'!B33/'UF Geral'!B32-1</f>
        <v>3.4490515108345221E-3</v>
      </c>
      <c r="C33" s="12">
        <f>'UF Geral'!C33/'UF Geral'!C32-1</f>
        <v>6.8410251012998025E-3</v>
      </c>
      <c r="D33" s="12">
        <f>'UF Geral'!D33/'UF Geral'!D32-1</f>
        <v>6.6605923194824612E-3</v>
      </c>
      <c r="E33" s="12">
        <f>'UF Geral'!E33/'UF Geral'!E32-1</f>
        <v>2.1870236596195358E-3</v>
      </c>
      <c r="F33" s="12">
        <f>'UF Geral'!F33/'UF Geral'!F32-1</f>
        <v>1.2862411654452455E-2</v>
      </c>
      <c r="G33" s="12">
        <f>'UF Geral'!G33/'UF Geral'!G32-1</f>
        <v>7.2450522607554468E-3</v>
      </c>
      <c r="H33" s="12">
        <f>'UF Geral'!H33/'UF Geral'!H32-1</f>
        <v>8.8389690234098595E-3</v>
      </c>
      <c r="I33" s="12">
        <f>'UF Geral'!I33/'UF Geral'!I32-1</f>
        <v>1.6658221927738914E-2</v>
      </c>
      <c r="J33" s="12">
        <f>'UF Geral'!J33/'UF Geral'!J32-1</f>
        <v>1.0959355361848777E-2</v>
      </c>
      <c r="K33" s="12">
        <f>'UF Geral'!K33/'UF Geral'!K32-1</f>
        <v>8.6287759868295177E-2</v>
      </c>
      <c r="L33" s="12">
        <f>'UF Geral'!L33/'UF Geral'!L32-1</f>
        <v>2.2806737682931955E-2</v>
      </c>
      <c r="M33" s="12">
        <f>'UF Geral'!M33/'UF Geral'!M32-1</f>
        <v>1.3719583210398012E-2</v>
      </c>
      <c r="N33" s="12">
        <f>'UF Geral'!N33/'UF Geral'!N32-1</f>
        <v>1.2895895469393626E-2</v>
      </c>
      <c r="O33" s="12">
        <f>'UF Geral'!O33/'UF Geral'!O32-1</f>
        <v>9.5417882272181842E-3</v>
      </c>
      <c r="P33" s="12">
        <f>'UF Geral'!P33/'UF Geral'!P32-1</f>
        <v>7.4993654383090913E-3</v>
      </c>
      <c r="Q33" s="12">
        <f>'UF Geral'!Q33/'UF Geral'!Q32-1</f>
        <v>9.5775838345717457E-3</v>
      </c>
      <c r="R33" s="12">
        <f>'UF Geral'!R33/'UF Geral'!R32-1</f>
        <v>6.7585981359350455E-3</v>
      </c>
      <c r="S33" s="12">
        <f>'UF Geral'!S33/'UF Geral'!S32-1</f>
        <v>1.3751645901205922E-2</v>
      </c>
      <c r="T33" s="12">
        <f>'UF Geral'!T33/'UF Geral'!T32-1</f>
        <v>6.1102793531180311E-3</v>
      </c>
      <c r="U33" s="12">
        <f>'UF Geral'!U33/'UF Geral'!U32-1</f>
        <v>2.6944984481054313E-3</v>
      </c>
      <c r="V33" s="12">
        <f>'UF Geral'!V33/'UF Geral'!V32-1</f>
        <v>2.7518058726039296E-3</v>
      </c>
      <c r="W33" s="12">
        <f>'UF Geral'!W33/'UF Geral'!W32-1</f>
        <v>7.7153052367633368E-3</v>
      </c>
      <c r="X33" s="12">
        <f>'UF Geral'!X33/'UF Geral'!X32-1</f>
        <v>9.8454770899853994E-3</v>
      </c>
      <c r="Y33" s="12">
        <f>'UF Geral'!Y33/'UF Geral'!Y32-1</f>
        <v>1.6034793946086978E-2</v>
      </c>
      <c r="Z33" s="12">
        <f>'UF Geral'!Z33/'UF Geral'!Z32-1</f>
        <v>1.0792015453960024E-2</v>
      </c>
      <c r="AA33" s="12">
        <f>'UF Geral'!AA33/'UF Geral'!AA32-1</f>
        <v>1.0212207708351517E-2</v>
      </c>
      <c r="AB33" s="12">
        <f>'UF Geral'!AB33/'UF Geral'!AB32-1</f>
        <v>1.8144086238452761E-2</v>
      </c>
      <c r="AC33" s="13">
        <f>'UF Geral'!AC33/'UF Geral'!AC32-1</f>
        <v>1.245547681378989E-2</v>
      </c>
      <c r="AD33" s="27"/>
      <c r="AE33" s="26"/>
    </row>
    <row r="34" spans="1:31" x14ac:dyDescent="0.35">
      <c r="A34" s="17">
        <f>'UF Geral'!A34</f>
        <v>46204</v>
      </c>
      <c r="B34" s="12">
        <f>'UF Geral'!B34/'UF Geral'!B33-1</f>
        <v>-1.5691548980049097E-3</v>
      </c>
      <c r="C34" s="12">
        <f>'UF Geral'!C34/'UF Geral'!C33-1</f>
        <v>1.4111744107039303E-3</v>
      </c>
      <c r="D34" s="12">
        <f>'UF Geral'!D34/'UF Geral'!D33-1</f>
        <v>6.1394030395307553E-3</v>
      </c>
      <c r="E34" s="12">
        <f>'UF Geral'!E34/'UF Geral'!E33-1</f>
        <v>-2.6451527575721556E-4</v>
      </c>
      <c r="F34" s="12">
        <f>'UF Geral'!F34/'UF Geral'!F33-1</f>
        <v>3.3240022495137911E-3</v>
      </c>
      <c r="G34" s="12">
        <f>'UF Geral'!G34/'UF Geral'!G33-1</f>
        <v>2.6341114685584088E-3</v>
      </c>
      <c r="H34" s="12">
        <f>'UF Geral'!H34/'UF Geral'!H33-1</f>
        <v>5.0440888997229649E-3</v>
      </c>
      <c r="I34" s="12">
        <f>'UF Geral'!I34/'UF Geral'!I33-1</f>
        <v>5.1908420358528495E-3</v>
      </c>
      <c r="J34" s="12">
        <f>'UF Geral'!J34/'UF Geral'!J33-1</f>
        <v>7.8452997130074031E-3</v>
      </c>
      <c r="K34" s="12">
        <f>'UF Geral'!K34/'UF Geral'!K33-1</f>
        <v>-3.7888466926894182E-4</v>
      </c>
      <c r="L34" s="12">
        <f>'UF Geral'!L34/'UF Geral'!L33-1</f>
        <v>8.2810951193756921E-3</v>
      </c>
      <c r="M34" s="12">
        <f>'UF Geral'!M34/'UF Geral'!M33-1</f>
        <v>6.579300097272478E-3</v>
      </c>
      <c r="N34" s="12">
        <f>'UF Geral'!N34/'UF Geral'!N33-1</f>
        <v>6.371463024762436E-3</v>
      </c>
      <c r="O34" s="12">
        <f>'UF Geral'!O34/'UF Geral'!O33-1</f>
        <v>1.7339271750587137E-3</v>
      </c>
      <c r="P34" s="12">
        <f>'UF Geral'!P34/'UF Geral'!P33-1</f>
        <v>1.202418579084874E-3</v>
      </c>
      <c r="Q34" s="12">
        <f>'UF Geral'!Q34/'UF Geral'!Q33-1</f>
        <v>3.699286913772637E-3</v>
      </c>
      <c r="R34" s="12">
        <f>'UF Geral'!R34/'UF Geral'!R33-1</f>
        <v>-2.1655568187972651E-4</v>
      </c>
      <c r="S34" s="12">
        <f>'UF Geral'!S34/'UF Geral'!S33-1</f>
        <v>9.1572169061062691E-3</v>
      </c>
      <c r="T34" s="12">
        <f>'UF Geral'!T34/'UF Geral'!T33-1</f>
        <v>-5.0239046473535831E-3</v>
      </c>
      <c r="U34" s="12">
        <f>'UF Geral'!U34/'UF Geral'!U33-1</f>
        <v>2.1770188448193561E-3</v>
      </c>
      <c r="V34" s="12">
        <f>'UF Geral'!V34/'UF Geral'!V33-1</f>
        <v>8.3730938347834627E-3</v>
      </c>
      <c r="W34" s="12">
        <f>'UF Geral'!W34/'UF Geral'!W33-1</f>
        <v>2.966791080486253E-3</v>
      </c>
      <c r="X34" s="12">
        <f>'UF Geral'!X34/'UF Geral'!X33-1</f>
        <v>1.0632199298195477E-2</v>
      </c>
      <c r="Y34" s="12">
        <f>'UF Geral'!Y34/'UF Geral'!Y33-1</f>
        <v>1.5793707415405311E-2</v>
      </c>
      <c r="Z34" s="12">
        <f>'UF Geral'!Z34/'UF Geral'!Z33-1</f>
        <v>1.044745693609217E-2</v>
      </c>
      <c r="AA34" s="12">
        <f>'UF Geral'!AA34/'UF Geral'!AA33-1</f>
        <v>6.5627835454926675E-3</v>
      </c>
      <c r="AB34" s="12">
        <f>'UF Geral'!AB34/'UF Geral'!AB33-1</f>
        <v>1.2739214132034826E-2</v>
      </c>
      <c r="AC34" s="13">
        <f>'UF Geral'!AC34/'UF Geral'!AC33-1</f>
        <v>5.8707234280457321E-3</v>
      </c>
      <c r="AD34" s="27"/>
      <c r="AE34" s="26"/>
    </row>
    <row r="35" spans="1:31" x14ac:dyDescent="0.35">
      <c r="A35" s="17">
        <f>'UF Geral'!A35</f>
        <v>46235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  <c r="AD35" s="27"/>
      <c r="AE35" s="26"/>
    </row>
    <row r="36" spans="1:31" x14ac:dyDescent="0.35">
      <c r="A36" s="17">
        <f>'UF Geral'!A36</f>
        <v>46266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/>
      <c r="AD36" s="27"/>
      <c r="AE36" s="26"/>
    </row>
    <row r="37" spans="1:31" x14ac:dyDescent="0.35">
      <c r="A37" s="17">
        <f>'UF Geral'!A37</f>
        <v>46296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/>
      <c r="AD37" s="27"/>
      <c r="AE37" s="26"/>
    </row>
    <row r="38" spans="1:31" x14ac:dyDescent="0.35">
      <c r="A38" s="17">
        <f>'UF Geral'!A38</f>
        <v>46327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/>
      <c r="AD38" s="27"/>
      <c r="AE38" s="26"/>
    </row>
    <row r="39" spans="1:31" x14ac:dyDescent="0.35">
      <c r="A39" s="19">
        <f>'UF Geral'!A39</f>
        <v>46357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2"/>
      <c r="AD39" s="27"/>
      <c r="AE39" s="26"/>
    </row>
  </sheetData>
  <mergeCells count="1">
    <mergeCell ref="A2:AC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9"/>
  <sheetViews>
    <sheetView showGridLines="0" workbookViewId="0">
      <pane xSplit="1" ySplit="3" topLeftCell="M28" activePane="bottomRight" state="frozen"/>
      <selection pane="topRight"/>
      <selection pane="bottomLeft"/>
      <selection pane="bottomRight" activeCell="B2" sqref="B2:AC2"/>
    </sheetView>
  </sheetViews>
  <sheetFormatPr defaultRowHeight="14.5" x14ac:dyDescent="0.35"/>
  <cols>
    <col min="1" max="1" width="16.26953125" customWidth="1"/>
    <col min="29" max="29" width="10.81640625" customWidth="1"/>
  </cols>
  <sheetData>
    <row r="1" spans="1:29" ht="45.5" customHeight="1" x14ac:dyDescent="0.35"/>
    <row r="2" spans="1:29" x14ac:dyDescent="0.35">
      <c r="A2" s="28"/>
      <c r="B2" s="38" t="s">
        <v>51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x14ac:dyDescent="0.35">
      <c r="A3" s="18" t="s">
        <v>13</v>
      </c>
      <c r="B3" s="18" t="s">
        <v>14</v>
      </c>
      <c r="C3" s="18" t="s">
        <v>15</v>
      </c>
      <c r="D3" s="18" t="s">
        <v>16</v>
      </c>
      <c r="E3" s="18" t="s">
        <v>17</v>
      </c>
      <c r="F3" s="18" t="s">
        <v>18</v>
      </c>
      <c r="G3" s="18" t="s">
        <v>19</v>
      </c>
      <c r="H3" s="18" t="s">
        <v>20</v>
      </c>
      <c r="I3" s="18" t="s">
        <v>21</v>
      </c>
      <c r="J3" s="18" t="s">
        <v>22</v>
      </c>
      <c r="K3" s="18" t="s">
        <v>23</v>
      </c>
      <c r="L3" s="18" t="s">
        <v>24</v>
      </c>
      <c r="M3" s="18" t="s">
        <v>25</v>
      </c>
      <c r="N3" s="18" t="s">
        <v>26</v>
      </c>
      <c r="O3" s="18" t="s">
        <v>27</v>
      </c>
      <c r="P3" s="18" t="s">
        <v>28</v>
      </c>
      <c r="Q3" s="18" t="s">
        <v>29</v>
      </c>
      <c r="R3" s="18" t="s">
        <v>30</v>
      </c>
      <c r="S3" s="18" t="s">
        <v>31</v>
      </c>
      <c r="T3" s="18" t="s">
        <v>32</v>
      </c>
      <c r="U3" s="18" t="s">
        <v>33</v>
      </c>
      <c r="V3" s="18" t="s">
        <v>34</v>
      </c>
      <c r="W3" s="18" t="s">
        <v>35</v>
      </c>
      <c r="X3" s="18" t="s">
        <v>36</v>
      </c>
      <c r="Y3" s="18" t="s">
        <v>37</v>
      </c>
      <c r="Z3" s="18" t="s">
        <v>38</v>
      </c>
      <c r="AA3" s="18" t="s">
        <v>39</v>
      </c>
      <c r="AB3" s="18" t="s">
        <v>40</v>
      </c>
      <c r="AC3" s="18" t="s">
        <v>41</v>
      </c>
    </row>
    <row r="4" spans="1:29" x14ac:dyDescent="0.35">
      <c r="A4" s="16">
        <f>'UF Geral'!A4</f>
        <v>45292</v>
      </c>
      <c r="B4" s="14" t="s">
        <v>42</v>
      </c>
      <c r="C4" s="14" t="s">
        <v>42</v>
      </c>
      <c r="D4" s="14" t="s">
        <v>42</v>
      </c>
      <c r="E4" s="14" t="s">
        <v>42</v>
      </c>
      <c r="F4" s="14" t="s">
        <v>42</v>
      </c>
      <c r="G4" s="14" t="s">
        <v>42</v>
      </c>
      <c r="H4" s="14" t="s">
        <v>42</v>
      </c>
      <c r="I4" s="14" t="s">
        <v>42</v>
      </c>
      <c r="J4" s="14" t="s">
        <v>42</v>
      </c>
      <c r="K4" s="14" t="s">
        <v>42</v>
      </c>
      <c r="L4" s="14" t="s">
        <v>42</v>
      </c>
      <c r="M4" s="14" t="s">
        <v>42</v>
      </c>
      <c r="N4" s="14" t="s">
        <v>42</v>
      </c>
      <c r="O4" s="14" t="s">
        <v>42</v>
      </c>
      <c r="P4" s="14" t="s">
        <v>42</v>
      </c>
      <c r="Q4" s="14" t="s">
        <v>42</v>
      </c>
      <c r="R4" s="14" t="s">
        <v>42</v>
      </c>
      <c r="S4" s="14" t="s">
        <v>42</v>
      </c>
      <c r="T4" s="14" t="s">
        <v>42</v>
      </c>
      <c r="U4" s="14" t="s">
        <v>42</v>
      </c>
      <c r="V4" s="14" t="s">
        <v>42</v>
      </c>
      <c r="W4" s="14" t="s">
        <v>42</v>
      </c>
      <c r="X4" s="14" t="s">
        <v>42</v>
      </c>
      <c r="Y4" s="14" t="s">
        <v>42</v>
      </c>
      <c r="Z4" s="14" t="s">
        <v>42</v>
      </c>
      <c r="AA4" s="14" t="s">
        <v>42</v>
      </c>
      <c r="AB4" s="14" t="s">
        <v>42</v>
      </c>
      <c r="AC4" s="15" t="s">
        <v>42</v>
      </c>
    </row>
    <row r="5" spans="1:29" x14ac:dyDescent="0.35">
      <c r="A5" s="17">
        <f>'UF Geral'!A5</f>
        <v>45323</v>
      </c>
      <c r="B5" s="12" t="s">
        <v>42</v>
      </c>
      <c r="C5" s="12" t="s">
        <v>42</v>
      </c>
      <c r="D5" s="12" t="s">
        <v>42</v>
      </c>
      <c r="E5" s="12" t="s">
        <v>42</v>
      </c>
      <c r="F5" s="12" t="s">
        <v>42</v>
      </c>
      <c r="G5" s="12" t="s">
        <v>42</v>
      </c>
      <c r="H5" s="12" t="s">
        <v>42</v>
      </c>
      <c r="I5" s="12" t="s">
        <v>42</v>
      </c>
      <c r="J5" s="12" t="s">
        <v>42</v>
      </c>
      <c r="K5" s="12" t="s">
        <v>42</v>
      </c>
      <c r="L5" s="12" t="s">
        <v>42</v>
      </c>
      <c r="M5" s="12" t="s">
        <v>42</v>
      </c>
      <c r="N5" s="12" t="s">
        <v>42</v>
      </c>
      <c r="O5" s="12" t="s">
        <v>42</v>
      </c>
      <c r="P5" s="12" t="s">
        <v>42</v>
      </c>
      <c r="Q5" s="12" t="s">
        <v>42</v>
      </c>
      <c r="R5" s="12" t="s">
        <v>42</v>
      </c>
      <c r="S5" s="12" t="s">
        <v>42</v>
      </c>
      <c r="T5" s="12" t="s">
        <v>42</v>
      </c>
      <c r="U5" s="12" t="s">
        <v>42</v>
      </c>
      <c r="V5" s="12" t="s">
        <v>42</v>
      </c>
      <c r="W5" s="12" t="s">
        <v>42</v>
      </c>
      <c r="X5" s="12" t="s">
        <v>42</v>
      </c>
      <c r="Y5" s="12" t="s">
        <v>42</v>
      </c>
      <c r="Z5" s="12" t="s">
        <v>42</v>
      </c>
      <c r="AA5" s="12" t="s">
        <v>42</v>
      </c>
      <c r="AB5" s="12" t="s">
        <v>42</v>
      </c>
      <c r="AC5" s="13" t="s">
        <v>42</v>
      </c>
    </row>
    <row r="6" spans="1:29" x14ac:dyDescent="0.35">
      <c r="A6" s="17">
        <f>'UF Geral'!A6</f>
        <v>45352</v>
      </c>
      <c r="B6" s="12" t="s">
        <v>42</v>
      </c>
      <c r="C6" s="12" t="s">
        <v>42</v>
      </c>
      <c r="D6" s="12" t="s">
        <v>42</v>
      </c>
      <c r="E6" s="12" t="s">
        <v>42</v>
      </c>
      <c r="F6" s="12" t="s">
        <v>42</v>
      </c>
      <c r="G6" s="12" t="s">
        <v>42</v>
      </c>
      <c r="H6" s="12" t="s">
        <v>42</v>
      </c>
      <c r="I6" s="12" t="s">
        <v>42</v>
      </c>
      <c r="J6" s="12" t="s">
        <v>42</v>
      </c>
      <c r="K6" s="12" t="s">
        <v>42</v>
      </c>
      <c r="L6" s="12" t="s">
        <v>42</v>
      </c>
      <c r="M6" s="12" t="s">
        <v>42</v>
      </c>
      <c r="N6" s="12" t="s">
        <v>42</v>
      </c>
      <c r="O6" s="12" t="s">
        <v>42</v>
      </c>
      <c r="P6" s="12" t="s">
        <v>42</v>
      </c>
      <c r="Q6" s="12" t="s">
        <v>42</v>
      </c>
      <c r="R6" s="12" t="s">
        <v>42</v>
      </c>
      <c r="S6" s="12" t="s">
        <v>42</v>
      </c>
      <c r="T6" s="12" t="s">
        <v>42</v>
      </c>
      <c r="U6" s="12" t="s">
        <v>42</v>
      </c>
      <c r="V6" s="12" t="s">
        <v>42</v>
      </c>
      <c r="W6" s="12" t="s">
        <v>42</v>
      </c>
      <c r="X6" s="12" t="s">
        <v>42</v>
      </c>
      <c r="Y6" s="12" t="s">
        <v>42</v>
      </c>
      <c r="Z6" s="12" t="s">
        <v>42</v>
      </c>
      <c r="AA6" s="12" t="s">
        <v>42</v>
      </c>
      <c r="AB6" s="12" t="s">
        <v>42</v>
      </c>
      <c r="AC6" s="13" t="s">
        <v>42</v>
      </c>
    </row>
    <row r="7" spans="1:29" x14ac:dyDescent="0.35">
      <c r="A7" s="17">
        <f>'UF Geral'!A7</f>
        <v>45383</v>
      </c>
      <c r="B7" s="12" t="s">
        <v>42</v>
      </c>
      <c r="C7" s="12" t="s">
        <v>42</v>
      </c>
      <c r="D7" s="12" t="s">
        <v>42</v>
      </c>
      <c r="E7" s="12" t="s">
        <v>42</v>
      </c>
      <c r="F7" s="12" t="s">
        <v>42</v>
      </c>
      <c r="G7" s="12" t="s">
        <v>42</v>
      </c>
      <c r="H7" s="12" t="s">
        <v>42</v>
      </c>
      <c r="I7" s="12" t="s">
        <v>42</v>
      </c>
      <c r="J7" s="12" t="s">
        <v>42</v>
      </c>
      <c r="K7" s="12" t="s">
        <v>42</v>
      </c>
      <c r="L7" s="12" t="s">
        <v>42</v>
      </c>
      <c r="M7" s="12" t="s">
        <v>42</v>
      </c>
      <c r="N7" s="12" t="s">
        <v>42</v>
      </c>
      <c r="O7" s="12" t="s">
        <v>42</v>
      </c>
      <c r="P7" s="12" t="s">
        <v>42</v>
      </c>
      <c r="Q7" s="12" t="s">
        <v>42</v>
      </c>
      <c r="R7" s="12" t="s">
        <v>42</v>
      </c>
      <c r="S7" s="12" t="s">
        <v>42</v>
      </c>
      <c r="T7" s="12" t="s">
        <v>42</v>
      </c>
      <c r="U7" s="12" t="s">
        <v>42</v>
      </c>
      <c r="V7" s="12" t="s">
        <v>42</v>
      </c>
      <c r="W7" s="12" t="s">
        <v>42</v>
      </c>
      <c r="X7" s="12" t="s">
        <v>42</v>
      </c>
      <c r="Y7" s="12" t="s">
        <v>42</v>
      </c>
      <c r="Z7" s="12" t="s">
        <v>42</v>
      </c>
      <c r="AA7" s="12" t="s">
        <v>42</v>
      </c>
      <c r="AB7" s="12" t="s">
        <v>42</v>
      </c>
      <c r="AC7" s="13" t="s">
        <v>42</v>
      </c>
    </row>
    <row r="8" spans="1:29" x14ac:dyDescent="0.35">
      <c r="A8" s="17">
        <f>'UF Geral'!A8</f>
        <v>45413</v>
      </c>
      <c r="B8" s="12" t="s">
        <v>42</v>
      </c>
      <c r="C8" s="12" t="s">
        <v>42</v>
      </c>
      <c r="D8" s="12" t="s">
        <v>42</v>
      </c>
      <c r="E8" s="12" t="s">
        <v>42</v>
      </c>
      <c r="F8" s="12" t="s">
        <v>42</v>
      </c>
      <c r="G8" s="12" t="s">
        <v>42</v>
      </c>
      <c r="H8" s="12" t="s">
        <v>42</v>
      </c>
      <c r="I8" s="12" t="s">
        <v>42</v>
      </c>
      <c r="J8" s="12" t="s">
        <v>42</v>
      </c>
      <c r="K8" s="12" t="s">
        <v>42</v>
      </c>
      <c r="L8" s="12" t="s">
        <v>42</v>
      </c>
      <c r="M8" s="12" t="s">
        <v>42</v>
      </c>
      <c r="N8" s="12" t="s">
        <v>42</v>
      </c>
      <c r="O8" s="12" t="s">
        <v>42</v>
      </c>
      <c r="P8" s="12" t="s">
        <v>42</v>
      </c>
      <c r="Q8" s="12" t="s">
        <v>42</v>
      </c>
      <c r="R8" s="12" t="s">
        <v>42</v>
      </c>
      <c r="S8" s="12" t="s">
        <v>42</v>
      </c>
      <c r="T8" s="12" t="s">
        <v>42</v>
      </c>
      <c r="U8" s="12" t="s">
        <v>42</v>
      </c>
      <c r="V8" s="12" t="s">
        <v>42</v>
      </c>
      <c r="W8" s="12" t="s">
        <v>42</v>
      </c>
      <c r="X8" s="12" t="s">
        <v>42</v>
      </c>
      <c r="Y8" s="12" t="s">
        <v>42</v>
      </c>
      <c r="Z8" s="12" t="s">
        <v>42</v>
      </c>
      <c r="AA8" s="12" t="s">
        <v>42</v>
      </c>
      <c r="AB8" s="12" t="s">
        <v>42</v>
      </c>
      <c r="AC8" s="13" t="s">
        <v>42</v>
      </c>
    </row>
    <row r="9" spans="1:29" x14ac:dyDescent="0.35">
      <c r="A9" s="17">
        <f>'UF Geral'!A9</f>
        <v>45444</v>
      </c>
      <c r="B9" s="12" t="s">
        <v>42</v>
      </c>
      <c r="C9" s="12" t="s">
        <v>42</v>
      </c>
      <c r="D9" s="12" t="s">
        <v>42</v>
      </c>
      <c r="E9" s="12" t="s">
        <v>42</v>
      </c>
      <c r="F9" s="12" t="s">
        <v>42</v>
      </c>
      <c r="G9" s="12" t="s">
        <v>42</v>
      </c>
      <c r="H9" s="12" t="s">
        <v>42</v>
      </c>
      <c r="I9" s="12" t="s">
        <v>42</v>
      </c>
      <c r="J9" s="12" t="s">
        <v>42</v>
      </c>
      <c r="K9" s="12" t="s">
        <v>42</v>
      </c>
      <c r="L9" s="12" t="s">
        <v>42</v>
      </c>
      <c r="M9" s="12" t="s">
        <v>42</v>
      </c>
      <c r="N9" s="12" t="s">
        <v>42</v>
      </c>
      <c r="O9" s="12" t="s">
        <v>42</v>
      </c>
      <c r="P9" s="12" t="s">
        <v>42</v>
      </c>
      <c r="Q9" s="12" t="s">
        <v>42</v>
      </c>
      <c r="R9" s="12" t="s">
        <v>42</v>
      </c>
      <c r="S9" s="12" t="s">
        <v>42</v>
      </c>
      <c r="T9" s="12" t="s">
        <v>42</v>
      </c>
      <c r="U9" s="12" t="s">
        <v>42</v>
      </c>
      <c r="V9" s="12" t="s">
        <v>42</v>
      </c>
      <c r="W9" s="12" t="s">
        <v>42</v>
      </c>
      <c r="X9" s="12" t="s">
        <v>42</v>
      </c>
      <c r="Y9" s="12" t="s">
        <v>42</v>
      </c>
      <c r="Z9" s="12" t="s">
        <v>42</v>
      </c>
      <c r="AA9" s="12" t="s">
        <v>42</v>
      </c>
      <c r="AB9" s="12" t="s">
        <v>42</v>
      </c>
      <c r="AC9" s="13" t="s">
        <v>42</v>
      </c>
    </row>
    <row r="10" spans="1:29" x14ac:dyDescent="0.35">
      <c r="A10" s="17">
        <f>'UF Geral'!A10</f>
        <v>45474</v>
      </c>
      <c r="B10" s="12" t="s">
        <v>42</v>
      </c>
      <c r="C10" s="12" t="s">
        <v>42</v>
      </c>
      <c r="D10" s="12" t="s">
        <v>42</v>
      </c>
      <c r="E10" s="12" t="s">
        <v>42</v>
      </c>
      <c r="F10" s="12" t="s">
        <v>42</v>
      </c>
      <c r="G10" s="12" t="s">
        <v>42</v>
      </c>
      <c r="H10" s="12" t="s">
        <v>42</v>
      </c>
      <c r="I10" s="12" t="s">
        <v>42</v>
      </c>
      <c r="J10" s="12" t="s">
        <v>42</v>
      </c>
      <c r="K10" s="12" t="s">
        <v>42</v>
      </c>
      <c r="L10" s="12" t="s">
        <v>42</v>
      </c>
      <c r="M10" s="12" t="s">
        <v>42</v>
      </c>
      <c r="N10" s="12" t="s">
        <v>42</v>
      </c>
      <c r="O10" s="12" t="s">
        <v>42</v>
      </c>
      <c r="P10" s="12" t="s">
        <v>42</v>
      </c>
      <c r="Q10" s="12" t="s">
        <v>42</v>
      </c>
      <c r="R10" s="12" t="s">
        <v>42</v>
      </c>
      <c r="S10" s="12" t="s">
        <v>42</v>
      </c>
      <c r="T10" s="12" t="s">
        <v>42</v>
      </c>
      <c r="U10" s="12" t="s">
        <v>42</v>
      </c>
      <c r="V10" s="12" t="s">
        <v>42</v>
      </c>
      <c r="W10" s="12" t="s">
        <v>42</v>
      </c>
      <c r="X10" s="12" t="s">
        <v>42</v>
      </c>
      <c r="Y10" s="12" t="s">
        <v>42</v>
      </c>
      <c r="Z10" s="12" t="s">
        <v>42</v>
      </c>
      <c r="AA10" s="12" t="s">
        <v>42</v>
      </c>
      <c r="AB10" s="12" t="s">
        <v>42</v>
      </c>
      <c r="AC10" s="13" t="s">
        <v>42</v>
      </c>
    </row>
    <row r="11" spans="1:29" x14ac:dyDescent="0.35">
      <c r="A11" s="17">
        <f>'UF Geral'!A11</f>
        <v>45505</v>
      </c>
      <c r="B11" s="12" t="s">
        <v>42</v>
      </c>
      <c r="C11" s="12" t="s">
        <v>42</v>
      </c>
      <c r="D11" s="12" t="s">
        <v>42</v>
      </c>
      <c r="E11" s="12" t="s">
        <v>42</v>
      </c>
      <c r="F11" s="12" t="s">
        <v>42</v>
      </c>
      <c r="G11" s="12" t="s">
        <v>42</v>
      </c>
      <c r="H11" s="12" t="s">
        <v>42</v>
      </c>
      <c r="I11" s="12" t="s">
        <v>42</v>
      </c>
      <c r="J11" s="12" t="s">
        <v>42</v>
      </c>
      <c r="K11" s="12" t="s">
        <v>42</v>
      </c>
      <c r="L11" s="12" t="s">
        <v>42</v>
      </c>
      <c r="M11" s="12" t="s">
        <v>42</v>
      </c>
      <c r="N11" s="12" t="s">
        <v>42</v>
      </c>
      <c r="O11" s="12" t="s">
        <v>42</v>
      </c>
      <c r="P11" s="12" t="s">
        <v>42</v>
      </c>
      <c r="Q11" s="12" t="s">
        <v>42</v>
      </c>
      <c r="R11" s="12" t="s">
        <v>42</v>
      </c>
      <c r="S11" s="12" t="s">
        <v>42</v>
      </c>
      <c r="T11" s="12" t="s">
        <v>42</v>
      </c>
      <c r="U11" s="12" t="s">
        <v>42</v>
      </c>
      <c r="V11" s="12" t="s">
        <v>42</v>
      </c>
      <c r="W11" s="12" t="s">
        <v>42</v>
      </c>
      <c r="X11" s="12" t="s">
        <v>42</v>
      </c>
      <c r="Y11" s="12" t="s">
        <v>42</v>
      </c>
      <c r="Z11" s="12" t="s">
        <v>42</v>
      </c>
      <c r="AA11" s="12" t="s">
        <v>42</v>
      </c>
      <c r="AB11" s="12" t="s">
        <v>42</v>
      </c>
      <c r="AC11" s="13" t="s">
        <v>42</v>
      </c>
    </row>
    <row r="12" spans="1:29" x14ac:dyDescent="0.35">
      <c r="A12" s="17">
        <f>'UF Geral'!A12</f>
        <v>45536</v>
      </c>
      <c r="B12" s="12" t="s">
        <v>42</v>
      </c>
      <c r="C12" s="12" t="s">
        <v>42</v>
      </c>
      <c r="D12" s="12" t="s">
        <v>42</v>
      </c>
      <c r="E12" s="12" t="s">
        <v>42</v>
      </c>
      <c r="F12" s="12" t="s">
        <v>42</v>
      </c>
      <c r="G12" s="12" t="s">
        <v>42</v>
      </c>
      <c r="H12" s="12" t="s">
        <v>42</v>
      </c>
      <c r="I12" s="12" t="s">
        <v>42</v>
      </c>
      <c r="J12" s="12" t="s">
        <v>42</v>
      </c>
      <c r="K12" s="12" t="s">
        <v>42</v>
      </c>
      <c r="L12" s="12" t="s">
        <v>42</v>
      </c>
      <c r="M12" s="12" t="s">
        <v>42</v>
      </c>
      <c r="N12" s="12" t="s">
        <v>42</v>
      </c>
      <c r="O12" s="12" t="s">
        <v>42</v>
      </c>
      <c r="P12" s="12" t="s">
        <v>42</v>
      </c>
      <c r="Q12" s="12" t="s">
        <v>42</v>
      </c>
      <c r="R12" s="12" t="s">
        <v>42</v>
      </c>
      <c r="S12" s="12" t="s">
        <v>42</v>
      </c>
      <c r="T12" s="12" t="s">
        <v>42</v>
      </c>
      <c r="U12" s="12" t="s">
        <v>42</v>
      </c>
      <c r="V12" s="12" t="s">
        <v>42</v>
      </c>
      <c r="W12" s="12" t="s">
        <v>42</v>
      </c>
      <c r="X12" s="12" t="s">
        <v>42</v>
      </c>
      <c r="Y12" s="12" t="s">
        <v>42</v>
      </c>
      <c r="Z12" s="12" t="s">
        <v>42</v>
      </c>
      <c r="AA12" s="12" t="s">
        <v>42</v>
      </c>
      <c r="AB12" s="12" t="s">
        <v>42</v>
      </c>
      <c r="AC12" s="13" t="s">
        <v>42</v>
      </c>
    </row>
    <row r="13" spans="1:29" x14ac:dyDescent="0.35">
      <c r="A13" s="17">
        <f>'UF Geral'!A13</f>
        <v>45566</v>
      </c>
      <c r="B13" s="12" t="s">
        <v>42</v>
      </c>
      <c r="C13" s="12" t="s">
        <v>42</v>
      </c>
      <c r="D13" s="12" t="s">
        <v>42</v>
      </c>
      <c r="E13" s="12" t="s">
        <v>42</v>
      </c>
      <c r="F13" s="12" t="s">
        <v>42</v>
      </c>
      <c r="G13" s="12" t="s">
        <v>42</v>
      </c>
      <c r="H13" s="12" t="s">
        <v>42</v>
      </c>
      <c r="I13" s="12" t="s">
        <v>42</v>
      </c>
      <c r="J13" s="12" t="s">
        <v>42</v>
      </c>
      <c r="K13" s="12" t="s">
        <v>42</v>
      </c>
      <c r="L13" s="12" t="s">
        <v>42</v>
      </c>
      <c r="M13" s="12" t="s">
        <v>42</v>
      </c>
      <c r="N13" s="12" t="s">
        <v>42</v>
      </c>
      <c r="O13" s="12" t="s">
        <v>42</v>
      </c>
      <c r="P13" s="12" t="s">
        <v>42</v>
      </c>
      <c r="Q13" s="12" t="s">
        <v>42</v>
      </c>
      <c r="R13" s="12" t="s">
        <v>42</v>
      </c>
      <c r="S13" s="12" t="s">
        <v>42</v>
      </c>
      <c r="T13" s="12" t="s">
        <v>42</v>
      </c>
      <c r="U13" s="12" t="s">
        <v>42</v>
      </c>
      <c r="V13" s="12" t="s">
        <v>42</v>
      </c>
      <c r="W13" s="12" t="s">
        <v>42</v>
      </c>
      <c r="X13" s="12" t="s">
        <v>42</v>
      </c>
      <c r="Y13" s="12" t="s">
        <v>42</v>
      </c>
      <c r="Z13" s="12" t="s">
        <v>42</v>
      </c>
      <c r="AA13" s="12" t="s">
        <v>42</v>
      </c>
      <c r="AB13" s="12" t="s">
        <v>42</v>
      </c>
      <c r="AC13" s="13" t="s">
        <v>42</v>
      </c>
    </row>
    <row r="14" spans="1:29" x14ac:dyDescent="0.35">
      <c r="A14" s="17">
        <f>'UF Geral'!A14</f>
        <v>45597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  <c r="X14" s="12" t="s">
        <v>42</v>
      </c>
      <c r="Y14" s="12" t="s">
        <v>42</v>
      </c>
      <c r="Z14" s="12" t="s">
        <v>42</v>
      </c>
      <c r="AA14" s="12" t="s">
        <v>42</v>
      </c>
      <c r="AB14" s="12" t="s">
        <v>42</v>
      </c>
      <c r="AC14" s="13" t="s">
        <v>42</v>
      </c>
    </row>
    <row r="15" spans="1:29" x14ac:dyDescent="0.35">
      <c r="A15" s="19">
        <f>'UF Geral'!A15</f>
        <v>45627</v>
      </c>
      <c r="B15" s="21" t="s">
        <v>42</v>
      </c>
      <c r="C15" s="21" t="s">
        <v>42</v>
      </c>
      <c r="D15" s="21" t="s">
        <v>42</v>
      </c>
      <c r="E15" s="21" t="s">
        <v>42</v>
      </c>
      <c r="F15" s="21" t="s">
        <v>42</v>
      </c>
      <c r="G15" s="21" t="s">
        <v>42</v>
      </c>
      <c r="H15" s="21" t="s">
        <v>42</v>
      </c>
      <c r="I15" s="21" t="s">
        <v>42</v>
      </c>
      <c r="J15" s="21" t="s">
        <v>42</v>
      </c>
      <c r="K15" s="21" t="s">
        <v>42</v>
      </c>
      <c r="L15" s="21" t="s">
        <v>42</v>
      </c>
      <c r="M15" s="21" t="s">
        <v>42</v>
      </c>
      <c r="N15" s="21" t="s">
        <v>42</v>
      </c>
      <c r="O15" s="21" t="s">
        <v>42</v>
      </c>
      <c r="P15" s="21" t="s">
        <v>42</v>
      </c>
      <c r="Q15" s="21" t="s">
        <v>42</v>
      </c>
      <c r="R15" s="21" t="s">
        <v>42</v>
      </c>
      <c r="S15" s="21" t="s">
        <v>42</v>
      </c>
      <c r="T15" s="21" t="s">
        <v>42</v>
      </c>
      <c r="U15" s="21" t="s">
        <v>42</v>
      </c>
      <c r="V15" s="21" t="s">
        <v>42</v>
      </c>
      <c r="W15" s="21" t="s">
        <v>42</v>
      </c>
      <c r="X15" s="21" t="s">
        <v>42</v>
      </c>
      <c r="Y15" s="21" t="s">
        <v>42</v>
      </c>
      <c r="Z15" s="21" t="s">
        <v>42</v>
      </c>
      <c r="AA15" s="21" t="s">
        <v>42</v>
      </c>
      <c r="AB15" s="21" t="s">
        <v>42</v>
      </c>
      <c r="AC15" s="22" t="s">
        <v>42</v>
      </c>
    </row>
    <row r="16" spans="1:29" x14ac:dyDescent="0.35">
      <c r="A16" s="16">
        <f>'UF Geral'!A16</f>
        <v>45658</v>
      </c>
      <c r="B16" s="14">
        <f>'UF Geral'!B16/'UF Geral'!B4-1</f>
        <v>-3.009673951988534E-2</v>
      </c>
      <c r="C16" s="14">
        <f>'UF Geral'!C16/'UF Geral'!C4-1</f>
        <v>-6.7620333988212211E-2</v>
      </c>
      <c r="D16" s="14">
        <f>'UF Geral'!D16/'UF Geral'!D4-1</f>
        <v>0.11070703052860376</v>
      </c>
      <c r="E16" s="14">
        <f>'UF Geral'!E16/'UF Geral'!E4-1</f>
        <v>9.9340001360821439E-3</v>
      </c>
      <c r="F16" s="14">
        <f>'UF Geral'!F16/'UF Geral'!F4-1</f>
        <v>2.3739518311141961E-2</v>
      </c>
      <c r="G16" s="14">
        <f>'UF Geral'!G16/'UF Geral'!G4-1</f>
        <v>4.1967247993723422E-2</v>
      </c>
      <c r="H16" s="14">
        <f>'UF Geral'!H16/'UF Geral'!H4-1</f>
        <v>0.19340720814103673</v>
      </c>
      <c r="I16" s="14">
        <f>'UF Geral'!I16/'UF Geral'!I4-1</f>
        <v>3.6713347164591958E-2</v>
      </c>
      <c r="J16" s="14">
        <f>'UF Geral'!J16/'UF Geral'!J4-1</f>
        <v>-7.8201550099609163E-3</v>
      </c>
      <c r="K16" s="14">
        <f>'UF Geral'!K16/'UF Geral'!K4-1</f>
        <v>-1.9635773530472411E-2</v>
      </c>
      <c r="L16" s="14">
        <f>'UF Geral'!L16/'UF Geral'!L4-1</f>
        <v>4.1783359716109691E-2</v>
      </c>
      <c r="M16" s="14">
        <f>'UF Geral'!M16/'UF Geral'!M4-1</f>
        <v>8.8002750085940162E-2</v>
      </c>
      <c r="N16" s="14">
        <f>'UF Geral'!N16/'UF Geral'!N4-1</f>
        <v>-1.9669340024194626E-2</v>
      </c>
      <c r="O16" s="14">
        <f>'UF Geral'!O16/'UF Geral'!O4-1</f>
        <v>0.10508439112846979</v>
      </c>
      <c r="P16" s="14">
        <f>'UF Geral'!P16/'UF Geral'!P4-1</f>
        <v>0.1553594351732992</v>
      </c>
      <c r="Q16" s="14">
        <f>'UF Geral'!Q16/'UF Geral'!Q4-1</f>
        <v>-2.4166022414708888E-2</v>
      </c>
      <c r="R16" s="14">
        <f>'UF Geral'!R16/'UF Geral'!R4-1</f>
        <v>8.015964608578563E-2</v>
      </c>
      <c r="S16" s="14">
        <f>'UF Geral'!S16/'UF Geral'!S4-1</f>
        <v>3.2492693377046189E-2</v>
      </c>
      <c r="T16" s="14">
        <f>'UF Geral'!T16/'UF Geral'!T4-1</f>
        <v>4.5786444615889321E-2</v>
      </c>
      <c r="U16" s="14">
        <f>'UF Geral'!U16/'UF Geral'!U4-1</f>
        <v>5.6371576022230974E-2</v>
      </c>
      <c r="V16" s="14">
        <f>'UF Geral'!V16/'UF Geral'!V4-1</f>
        <v>-1.1316751149357485E-2</v>
      </c>
      <c r="W16" s="14">
        <f>'UF Geral'!W16/'UF Geral'!W4-1</f>
        <v>5.4089565312602561E-2</v>
      </c>
      <c r="X16" s="14">
        <f>'UF Geral'!X16/'UF Geral'!X4-1</f>
        <v>-7.7836811493082747E-3</v>
      </c>
      <c r="Y16" s="14">
        <f>'UF Geral'!Y16/'UF Geral'!Y4-1</f>
        <v>2.9067378433327296E-2</v>
      </c>
      <c r="Z16" s="14">
        <f>'UF Geral'!Z16/'UF Geral'!Z4-1</f>
        <v>-6.3280925814929279E-2</v>
      </c>
      <c r="AA16" s="14">
        <f>'UF Geral'!AA16/'UF Geral'!AA4-1</f>
        <v>0.11339018655022537</v>
      </c>
      <c r="AB16" s="14">
        <f>'UF Geral'!AB16/'UF Geral'!AB4-1</f>
        <v>9.2938404236450722E-2</v>
      </c>
      <c r="AC16" s="15">
        <f>'UF Geral'!AC16/'UF Geral'!AC4-1</f>
        <v>5.9413586383395556E-2</v>
      </c>
    </row>
    <row r="17" spans="1:29" x14ac:dyDescent="0.35">
      <c r="A17" s="17">
        <f>'UF Geral'!A17</f>
        <v>45689</v>
      </c>
      <c r="B17" s="12">
        <f>'UF Geral'!B17/'UF Geral'!B5-1</f>
        <v>-7.7369439071566237E-3</v>
      </c>
      <c r="C17" s="12">
        <f>'UF Geral'!C17/'UF Geral'!C5-1</f>
        <v>-8.8645856886149121E-2</v>
      </c>
      <c r="D17" s="12">
        <f>'UF Geral'!D17/'UF Geral'!D5-1</f>
        <v>0.18478977197838398</v>
      </c>
      <c r="E17" s="12">
        <f>'UF Geral'!E17/'UF Geral'!E5-1</f>
        <v>3.0876764386536415E-2</v>
      </c>
      <c r="F17" s="12">
        <f>'UF Geral'!F17/'UF Geral'!F5-1</f>
        <v>2.9959503427781087E-2</v>
      </c>
      <c r="G17" s="12">
        <f>'UF Geral'!G17/'UF Geral'!G5-1</f>
        <v>5.6082137939332366E-2</v>
      </c>
      <c r="H17" s="12">
        <f>'UF Geral'!H17/'UF Geral'!H5-1</f>
        <v>0.21980334203911878</v>
      </c>
      <c r="I17" s="12">
        <f>'UF Geral'!I17/'UF Geral'!I5-1</f>
        <v>3.1156421959646741E-2</v>
      </c>
      <c r="J17" s="12">
        <f>'UF Geral'!J17/'UF Geral'!J5-1</f>
        <v>1.7212344507401278E-2</v>
      </c>
      <c r="K17" s="12">
        <f>'UF Geral'!K17/'UF Geral'!K5-1</f>
        <v>-6.8110562542794684E-3</v>
      </c>
      <c r="L17" s="12">
        <f>'UF Geral'!L17/'UF Geral'!L5-1</f>
        <v>5.0547287524925322E-2</v>
      </c>
      <c r="M17" s="12">
        <f>'UF Geral'!M17/'UF Geral'!M5-1</f>
        <v>0.12162351116704162</v>
      </c>
      <c r="N17" s="12">
        <f>'UF Geral'!N17/'UF Geral'!N5-1</f>
        <v>-1.3163069206283295E-2</v>
      </c>
      <c r="O17" s="12">
        <f>'UF Geral'!O17/'UF Geral'!O5-1</f>
        <v>0.120678766006177</v>
      </c>
      <c r="P17" s="12">
        <f>'UF Geral'!P17/'UF Geral'!P5-1</f>
        <v>0.17119872560732774</v>
      </c>
      <c r="Q17" s="12">
        <f>'UF Geral'!Q17/'UF Geral'!Q5-1</f>
        <v>-8.2839616211398681E-3</v>
      </c>
      <c r="R17" s="12">
        <f>'UF Geral'!R17/'UF Geral'!R5-1</f>
        <v>9.0909090909090828E-2</v>
      </c>
      <c r="S17" s="12">
        <f>'UF Geral'!S17/'UF Geral'!S5-1</f>
        <v>4.8885262661214179E-2</v>
      </c>
      <c r="T17" s="12">
        <f>'UF Geral'!T17/'UF Geral'!T5-1</f>
        <v>8.1166245864296993E-2</v>
      </c>
      <c r="U17" s="12">
        <f>'UF Geral'!U17/'UF Geral'!U5-1</f>
        <v>7.1344416808482691E-2</v>
      </c>
      <c r="V17" s="12">
        <f>'UF Geral'!V17/'UF Geral'!V5-1</f>
        <v>-1.5911055236897953E-3</v>
      </c>
      <c r="W17" s="12">
        <f>'UF Geral'!W17/'UF Geral'!W5-1</f>
        <v>7.0236667030210587E-2</v>
      </c>
      <c r="X17" s="12">
        <f>'UF Geral'!X17/'UF Geral'!X5-1</f>
        <v>9.6794450946251498E-3</v>
      </c>
      <c r="Y17" s="12">
        <f>'UF Geral'!Y17/'UF Geral'!Y5-1</f>
        <v>4.5020074009515465E-2</v>
      </c>
      <c r="Z17" s="12">
        <f>'UF Geral'!Z17/'UF Geral'!Z5-1</f>
        <v>-6.1214641880557918E-2</v>
      </c>
      <c r="AA17" s="12">
        <f>'UF Geral'!AA17/'UF Geral'!AA5-1</f>
        <v>0.15109766478526554</v>
      </c>
      <c r="AB17" s="12">
        <f>'UF Geral'!AB17/'UF Geral'!AB5-1</f>
        <v>0.1146480723561214</v>
      </c>
      <c r="AC17" s="13">
        <f>'UF Geral'!AC17/'UF Geral'!AC5-1</f>
        <v>8.2789654880987218E-2</v>
      </c>
    </row>
    <row r="18" spans="1:29" x14ac:dyDescent="0.35">
      <c r="A18" s="17">
        <f>'UF Geral'!A18</f>
        <v>45717</v>
      </c>
      <c r="B18" s="12">
        <f>'UF Geral'!B18/'UF Geral'!B6-1</f>
        <v>1.3699607563325111E-2</v>
      </c>
      <c r="C18" s="12">
        <f>'UF Geral'!C18/'UF Geral'!C6-1</f>
        <v>-0.11081821893042509</v>
      </c>
      <c r="D18" s="12">
        <f>'UF Geral'!D18/'UF Geral'!D6-1</f>
        <v>0.21205019215092591</v>
      </c>
      <c r="E18" s="12">
        <f>'UF Geral'!E18/'UF Geral'!E6-1</f>
        <v>4.4668880905578634E-2</v>
      </c>
      <c r="F18" s="12">
        <f>'UF Geral'!F18/'UF Geral'!F6-1</f>
        <v>3.8001714955926857E-2</v>
      </c>
      <c r="G18" s="12">
        <f>'UF Geral'!G18/'UF Geral'!G6-1</f>
        <v>6.9976891627658855E-2</v>
      </c>
      <c r="H18" s="12">
        <f>'UF Geral'!H18/'UF Geral'!H6-1</f>
        <v>0.21179388829011603</v>
      </c>
      <c r="I18" s="12">
        <f>'UF Geral'!I18/'UF Geral'!I6-1</f>
        <v>2.8303082003767077E-2</v>
      </c>
      <c r="J18" s="12">
        <f>'UF Geral'!J18/'UF Geral'!J6-1</f>
        <v>9.6067534225745321E-2</v>
      </c>
      <c r="K18" s="12">
        <f>'UF Geral'!K18/'UF Geral'!K6-1</f>
        <v>1.9352467686129637E-2</v>
      </c>
      <c r="L18" s="12">
        <f>'UF Geral'!L18/'UF Geral'!L6-1</f>
        <v>6.0318547523167343E-2</v>
      </c>
      <c r="M18" s="12">
        <f>'UF Geral'!M18/'UF Geral'!M6-1</f>
        <v>0.14238052072317076</v>
      </c>
      <c r="N18" s="12">
        <f>'UF Geral'!N18/'UF Geral'!N6-1</f>
        <v>6.109889133284474E-3</v>
      </c>
      <c r="O18" s="12">
        <f>'UF Geral'!O18/'UF Geral'!O6-1</f>
        <v>0.13646807925151339</v>
      </c>
      <c r="P18" s="12">
        <f>'UF Geral'!P18/'UF Geral'!P6-1</f>
        <v>0.18256716795546901</v>
      </c>
      <c r="Q18" s="12">
        <f>'UF Geral'!Q18/'UF Geral'!Q6-1</f>
        <v>1.0226396689793971E-2</v>
      </c>
      <c r="R18" s="12">
        <f>'UF Geral'!R18/'UF Geral'!R6-1</f>
        <v>0.1041478809738503</v>
      </c>
      <c r="S18" s="12">
        <f>'UF Geral'!S18/'UF Geral'!S6-1</f>
        <v>6.5357069677129731E-2</v>
      </c>
      <c r="T18" s="12">
        <f>'UF Geral'!T18/'UF Geral'!T6-1</f>
        <v>0.10360060784839553</v>
      </c>
      <c r="U18" s="12">
        <f>'UF Geral'!U18/'UF Geral'!U6-1</f>
        <v>8.9363613965419697E-2</v>
      </c>
      <c r="V18" s="12">
        <f>'UF Geral'!V18/'UF Geral'!V6-1</f>
        <v>1.1798488074541424E-2</v>
      </c>
      <c r="W18" s="12">
        <f>'UF Geral'!W18/'UF Geral'!W6-1</f>
        <v>9.017103269105875E-2</v>
      </c>
      <c r="X18" s="12">
        <f>'UF Geral'!X18/'UF Geral'!X6-1</f>
        <v>2.2072665396595692E-2</v>
      </c>
      <c r="Y18" s="12">
        <f>'UF Geral'!Y18/'UF Geral'!Y6-1</f>
        <v>5.4290378424880936E-2</v>
      </c>
      <c r="Z18" s="12">
        <f>'UF Geral'!Z18/'UF Geral'!Z6-1</f>
        <v>-5.7983841684822068E-2</v>
      </c>
      <c r="AA18" s="12">
        <f>'UF Geral'!AA18/'UF Geral'!AA6-1</f>
        <v>0.17448734664849175</v>
      </c>
      <c r="AB18" s="12">
        <f>'UF Geral'!AB18/'UF Geral'!AB6-1</f>
        <v>0.13624156020180211</v>
      </c>
      <c r="AC18" s="13">
        <f>'UF Geral'!AC18/'UF Geral'!AC6-1</f>
        <v>0.10126658313357173</v>
      </c>
    </row>
    <row r="19" spans="1:29" x14ac:dyDescent="0.35">
      <c r="A19" s="17">
        <f>'UF Geral'!A19</f>
        <v>45748</v>
      </c>
      <c r="B19" s="12">
        <f>'UF Geral'!B19/'UF Geral'!B7-1</f>
        <v>3.7650389242745996E-2</v>
      </c>
      <c r="C19" s="12">
        <f>'UF Geral'!C19/'UF Geral'!C7-1</f>
        <v>-6.4270458290108023E-2</v>
      </c>
      <c r="D19" s="12">
        <f>'UF Geral'!D19/'UF Geral'!D7-1</f>
        <v>0.19269852696865652</v>
      </c>
      <c r="E19" s="12">
        <f>'UF Geral'!E19/'UF Geral'!E7-1</f>
        <v>7.4588788183954424E-2</v>
      </c>
      <c r="F19" s="12">
        <f>'UF Geral'!F19/'UF Geral'!F7-1</f>
        <v>5.0835452293209737E-2</v>
      </c>
      <c r="G19" s="12">
        <f>'UF Geral'!G19/'UF Geral'!G7-1</f>
        <v>9.4325530200287E-2</v>
      </c>
      <c r="H19" s="12">
        <f>'UF Geral'!H19/'UF Geral'!H7-1</f>
        <v>0.23204454163371024</v>
      </c>
      <c r="I19" s="12">
        <f>'UF Geral'!I19/'UF Geral'!I7-1</f>
        <v>2.2567377866073324E-2</v>
      </c>
      <c r="J19" s="12">
        <f>'UF Geral'!J19/'UF Geral'!J7-1</f>
        <v>0.12670298399828472</v>
      </c>
      <c r="K19" s="12">
        <f>'UF Geral'!K19/'UF Geral'!K7-1</f>
        <v>3.6829907746270818E-2</v>
      </c>
      <c r="L19" s="12">
        <f>'UF Geral'!L19/'UF Geral'!L7-1</f>
        <v>8.6056978540571372E-2</v>
      </c>
      <c r="M19" s="12">
        <f>'UF Geral'!M19/'UF Geral'!M7-1</f>
        <v>0.10149078998169214</v>
      </c>
      <c r="N19" s="12">
        <f>'UF Geral'!N19/'UF Geral'!N7-1</f>
        <v>-8.29766906173518E-2</v>
      </c>
      <c r="O19" s="12">
        <f>'UF Geral'!O19/'UF Geral'!O7-1</f>
        <v>0.15652262743896217</v>
      </c>
      <c r="P19" s="12">
        <f>'UF Geral'!P19/'UF Geral'!P7-1</f>
        <v>0.22717041298027318</v>
      </c>
      <c r="Q19" s="12">
        <f>'UF Geral'!Q19/'UF Geral'!Q7-1</f>
        <v>2.6349651223972037E-2</v>
      </c>
      <c r="R19" s="12">
        <f>'UF Geral'!R19/'UF Geral'!R7-1</f>
        <v>0.1329770884070649</v>
      </c>
      <c r="S19" s="12">
        <f>'UF Geral'!S19/'UF Geral'!S7-1</f>
        <v>9.5896078507277771E-2</v>
      </c>
      <c r="T19" s="12">
        <f>'UF Geral'!T19/'UF Geral'!T7-1</f>
        <v>0.12508165000801097</v>
      </c>
      <c r="U19" s="12">
        <f>'UF Geral'!U19/'UF Geral'!U7-1</f>
        <v>0.12360441969823732</v>
      </c>
      <c r="V19" s="12">
        <f>'UF Geral'!V19/'UF Geral'!V7-1</f>
        <v>-7.5096759286008563E-4</v>
      </c>
      <c r="W19" s="12">
        <f>'UF Geral'!W19/'UF Geral'!W7-1</f>
        <v>0.12673010380622829</v>
      </c>
      <c r="X19" s="12">
        <f>'UF Geral'!X19/'UF Geral'!X7-1</f>
        <v>6.8658835240287486E-2</v>
      </c>
      <c r="Y19" s="12">
        <f>'UF Geral'!Y19/'UF Geral'!Y7-1</f>
        <v>7.600431269865715E-2</v>
      </c>
      <c r="Z19" s="12">
        <f>'UF Geral'!Z19/'UF Geral'!Z7-1</f>
        <v>-3.8909975226709692E-2</v>
      </c>
      <c r="AA19" s="12">
        <f>'UF Geral'!AA19/'UF Geral'!AA7-1</f>
        <v>0.19592147669520443</v>
      </c>
      <c r="AB19" s="12">
        <f>'UF Geral'!AB19/'UF Geral'!AB7-1</f>
        <v>0.16005146986043739</v>
      </c>
      <c r="AC19" s="13">
        <f>'UF Geral'!AC19/'UF Geral'!AC7-1</f>
        <v>0.12085203183087945</v>
      </c>
    </row>
    <row r="20" spans="1:29" x14ac:dyDescent="0.35">
      <c r="A20" s="17">
        <f>'UF Geral'!A20</f>
        <v>45778</v>
      </c>
      <c r="B20" s="12">
        <f>'UF Geral'!B20/'UF Geral'!B8-1</f>
        <v>5.3783173348390667E-2</v>
      </c>
      <c r="C20" s="12">
        <f>'UF Geral'!C20/'UF Geral'!C8-1</f>
        <v>-5.5265608154464352E-2</v>
      </c>
      <c r="D20" s="12">
        <f>'UF Geral'!D20/'UF Geral'!D8-1</f>
        <v>0.19558823529411762</v>
      </c>
      <c r="E20" s="12">
        <f>'UF Geral'!E20/'UF Geral'!E8-1</f>
        <v>8.5878885316184261E-2</v>
      </c>
      <c r="F20" s="12">
        <f>'UF Geral'!F20/'UF Geral'!F8-1</f>
        <v>6.5356916668299014E-2</v>
      </c>
      <c r="G20" s="12">
        <f>'UF Geral'!G20/'UF Geral'!G8-1</f>
        <v>0.11342916563117211</v>
      </c>
      <c r="H20" s="12">
        <f>'UF Geral'!H20/'UF Geral'!H8-1</f>
        <v>0.22134800219431727</v>
      </c>
      <c r="I20" s="12">
        <f>'UF Geral'!I20/'UF Geral'!I8-1</f>
        <v>2.5286117100679961E-2</v>
      </c>
      <c r="J20" s="12">
        <f>'UF Geral'!J20/'UF Geral'!J8-1</f>
        <v>0.14164811124482934</v>
      </c>
      <c r="K20" s="12">
        <f>'UF Geral'!K20/'UF Geral'!K8-1</f>
        <v>3.2301611972112454E-2</v>
      </c>
      <c r="L20" s="12">
        <f>'UF Geral'!L20/'UF Geral'!L8-1</f>
        <v>0.12035440548513554</v>
      </c>
      <c r="M20" s="12">
        <f>'UF Geral'!M20/'UF Geral'!M8-1</f>
        <v>0.21840954569035786</v>
      </c>
      <c r="N20" s="12">
        <f>'UF Geral'!N20/'UF Geral'!N8-1</f>
        <v>-7.938443480812496E-2</v>
      </c>
      <c r="O20" s="12">
        <f>'UF Geral'!O20/'UF Geral'!O8-1</f>
        <v>0.15272325316540503</v>
      </c>
      <c r="P20" s="12">
        <f>'UF Geral'!P20/'UF Geral'!P8-1</f>
        <v>0.26568064822158965</v>
      </c>
      <c r="Q20" s="12">
        <f>'UF Geral'!Q20/'UF Geral'!Q8-1</f>
        <v>3.7344462797934908E-2</v>
      </c>
      <c r="R20" s="12">
        <f>'UF Geral'!R20/'UF Geral'!R8-1</f>
        <v>0.13117291187919156</v>
      </c>
      <c r="S20" s="12">
        <f>'UF Geral'!S20/'UF Geral'!S8-1</f>
        <v>0.11341933928140824</v>
      </c>
      <c r="T20" s="12">
        <f>'UF Geral'!T20/'UF Geral'!T8-1</f>
        <v>0.14556200932794106</v>
      </c>
      <c r="U20" s="12">
        <f>'UF Geral'!U20/'UF Geral'!U8-1</f>
        <v>0.13382260191502771</v>
      </c>
      <c r="V20" s="12">
        <f>'UF Geral'!V20/'UF Geral'!V8-1</f>
        <v>2.118866057395663E-2</v>
      </c>
      <c r="W20" s="12">
        <f>'UF Geral'!W20/'UF Geral'!W8-1</f>
        <v>0.12992716366752366</v>
      </c>
      <c r="X20" s="12">
        <f>'UF Geral'!X20/'UF Geral'!X8-1</f>
        <v>0.13414783567590272</v>
      </c>
      <c r="Y20" s="12">
        <f>'UF Geral'!Y20/'UF Geral'!Y8-1</f>
        <v>0.11204669276893253</v>
      </c>
      <c r="Z20" s="12">
        <f>'UF Geral'!Z20/'UF Geral'!Z8-1</f>
        <v>-5.1801036926351074E-2</v>
      </c>
      <c r="AA20" s="12">
        <f>'UF Geral'!AA20/'UF Geral'!AA8-1</f>
        <v>0.14909798233682769</v>
      </c>
      <c r="AB20" s="12">
        <f>'UF Geral'!AB20/'UF Geral'!AB8-1</f>
        <v>0.17882636735095758</v>
      </c>
      <c r="AC20" s="13">
        <f>'UF Geral'!AC20/'UF Geral'!AC8-1</f>
        <v>0.12201961868579958</v>
      </c>
    </row>
    <row r="21" spans="1:29" x14ac:dyDescent="0.35">
      <c r="A21" s="17">
        <f>'UF Geral'!A21</f>
        <v>45809</v>
      </c>
      <c r="B21" s="12">
        <f>'UF Geral'!B21/'UF Geral'!B9-1</f>
        <v>5.2668539325842589E-2</v>
      </c>
      <c r="C21" s="12">
        <f>'UF Geral'!C21/'UF Geral'!C9-1</f>
        <v>-5.3406862745098094E-2</v>
      </c>
      <c r="D21" s="12">
        <f>'UF Geral'!D21/'UF Geral'!D9-1</f>
        <v>0.21115324320340867</v>
      </c>
      <c r="E21" s="12">
        <f>'UF Geral'!E21/'UF Geral'!E9-1</f>
        <v>8.6743921227141696E-2</v>
      </c>
      <c r="F21" s="12">
        <f>'UF Geral'!F21/'UF Geral'!F9-1</f>
        <v>6.3418351396415273E-2</v>
      </c>
      <c r="G21" s="12">
        <f>'UF Geral'!G21/'UF Geral'!G9-1</f>
        <v>0.12071728198848386</v>
      </c>
      <c r="H21" s="12">
        <f>'UF Geral'!H21/'UF Geral'!H9-1</f>
        <v>0.22769705694652642</v>
      </c>
      <c r="I21" s="12">
        <f>'UF Geral'!I21/'UF Geral'!I9-1</f>
        <v>1.9203273677463883E-2</v>
      </c>
      <c r="J21" s="12">
        <f>'UF Geral'!J21/'UF Geral'!J9-1</f>
        <v>0.20556966884005634</v>
      </c>
      <c r="K21" s="12">
        <f>'UF Geral'!K21/'UF Geral'!K9-1</f>
        <v>4.1712540398479936E-2</v>
      </c>
      <c r="L21" s="12">
        <f>'UF Geral'!L21/'UF Geral'!L9-1</f>
        <v>0.16231349670987316</v>
      </c>
      <c r="M21" s="12">
        <f>'UF Geral'!M21/'UF Geral'!M9-1</f>
        <v>0.24102520059872901</v>
      </c>
      <c r="N21" s="12">
        <f>'UF Geral'!N21/'UF Geral'!N9-1</f>
        <v>-6.8759625172926886E-2</v>
      </c>
      <c r="O21" s="12">
        <f>'UF Geral'!O21/'UF Geral'!O9-1</f>
        <v>0.16327757187218261</v>
      </c>
      <c r="P21" s="12">
        <f>'UF Geral'!P21/'UF Geral'!P9-1</f>
        <v>0.30071793923707402</v>
      </c>
      <c r="Q21" s="12">
        <f>'UF Geral'!Q21/'UF Geral'!Q9-1</f>
        <v>5.2697910102646128E-2</v>
      </c>
      <c r="R21" s="12">
        <f>'UF Geral'!R21/'UF Geral'!R9-1</f>
        <v>0.13179852752132759</v>
      </c>
      <c r="S21" s="12">
        <f>'UF Geral'!S21/'UF Geral'!S9-1</f>
        <v>0.14101212503992455</v>
      </c>
      <c r="T21" s="12">
        <f>'UF Geral'!T21/'UF Geral'!T9-1</f>
        <v>0.16195361066241509</v>
      </c>
      <c r="U21" s="12">
        <f>'UF Geral'!U21/'UF Geral'!U9-1</f>
        <v>0.13845495399101226</v>
      </c>
      <c r="V21" s="12">
        <f>'UF Geral'!V21/'UF Geral'!V9-1</f>
        <v>2.8873266638340667E-2</v>
      </c>
      <c r="W21" s="12">
        <f>'UF Geral'!W21/'UF Geral'!W9-1</f>
        <v>0.16023865331344567</v>
      </c>
      <c r="X21" s="12">
        <f>'UF Geral'!X21/'UF Geral'!X9-1</f>
        <v>0.18633180550677908</v>
      </c>
      <c r="Y21" s="12">
        <f>'UF Geral'!Y21/'UF Geral'!Y9-1</f>
        <v>0.13171761928918246</v>
      </c>
      <c r="Z21" s="12">
        <f>'UF Geral'!Z21/'UF Geral'!Z9-1</f>
        <v>-4.6198114917527677E-2</v>
      </c>
      <c r="AA21" s="12">
        <f>'UF Geral'!AA21/'UF Geral'!AA9-1</f>
        <v>0.13000471307468198</v>
      </c>
      <c r="AB21" s="12">
        <f>'UF Geral'!AB21/'UF Geral'!AB9-1</f>
        <v>0.19873368018062232</v>
      </c>
      <c r="AC21" s="13">
        <f>'UF Geral'!AC21/'UF Geral'!AC9-1</f>
        <v>0.13057328255570266</v>
      </c>
    </row>
    <row r="22" spans="1:29" x14ac:dyDescent="0.35">
      <c r="A22" s="17">
        <f>'UF Geral'!A22</f>
        <v>45839</v>
      </c>
      <c r="B22" s="12">
        <f>'UF Geral'!B22/'UF Geral'!B10-1</f>
        <v>8.0876634853304985E-2</v>
      </c>
      <c r="C22" s="12">
        <f>'UF Geral'!C22/'UF Geral'!C10-1</f>
        <v>-2.1818274073039934E-3</v>
      </c>
      <c r="D22" s="12">
        <f>'UF Geral'!D22/'UF Geral'!D10-1</f>
        <v>0.5817785154054127</v>
      </c>
      <c r="E22" s="12">
        <f>'UF Geral'!E22/'UF Geral'!E10-1</f>
        <v>0.13042600444175245</v>
      </c>
      <c r="F22" s="12">
        <f>'UF Geral'!F22/'UF Geral'!F10-1</f>
        <v>9.5441013752041837E-2</v>
      </c>
      <c r="G22" s="12">
        <f>'UF Geral'!G22/'UF Geral'!G10-1</f>
        <v>0.15890311749020647</v>
      </c>
      <c r="H22" s="12">
        <f>'UF Geral'!H22/'UF Geral'!H10-1</f>
        <v>0.25322724033297339</v>
      </c>
      <c r="I22" s="12">
        <f>'UF Geral'!I22/'UF Geral'!I10-1</f>
        <v>5.4559774498424751E-2</v>
      </c>
      <c r="J22" s="12">
        <f>'UF Geral'!J22/'UF Geral'!J10-1</f>
        <v>0.23511285842225904</v>
      </c>
      <c r="K22" s="12">
        <f>'UF Geral'!K22/'UF Geral'!K10-1</f>
        <v>4.4945193046149523E-2</v>
      </c>
      <c r="L22" s="12">
        <f>'UF Geral'!L22/'UF Geral'!L10-1</f>
        <v>0.20691539870520037</v>
      </c>
      <c r="M22" s="12">
        <f>'UF Geral'!M22/'UF Geral'!M10-1</f>
        <v>0.28505104491213373</v>
      </c>
      <c r="N22" s="12">
        <f>'UF Geral'!N22/'UF Geral'!N10-1</f>
        <v>-5.9760265172927651E-2</v>
      </c>
      <c r="O22" s="12">
        <f>'UF Geral'!O22/'UF Geral'!O10-1</f>
        <v>0.1901870747165888</v>
      </c>
      <c r="P22" s="12">
        <f>'UF Geral'!P22/'UF Geral'!P10-1</f>
        <v>0.34393678294754171</v>
      </c>
      <c r="Q22" s="12">
        <f>'UF Geral'!Q22/'UF Geral'!Q10-1</f>
        <v>8.1761072084276964E-2</v>
      </c>
      <c r="R22" s="12">
        <f>'UF Geral'!R22/'UF Geral'!R10-1</f>
        <v>0.16641516551919278</v>
      </c>
      <c r="S22" s="12">
        <f>'UF Geral'!S22/'UF Geral'!S10-1</f>
        <v>0.1745697427833639</v>
      </c>
      <c r="T22" s="12">
        <f>'UF Geral'!T22/'UF Geral'!T10-1</f>
        <v>0.19296903125048903</v>
      </c>
      <c r="U22" s="12">
        <f>'UF Geral'!U22/'UF Geral'!U10-1</f>
        <v>0.1779067268428971</v>
      </c>
      <c r="V22" s="12">
        <f>'UF Geral'!V22/'UF Geral'!V10-1</f>
        <v>3.0389841663117867E-2</v>
      </c>
      <c r="W22" s="12">
        <f>'UF Geral'!W22/'UF Geral'!W10-1</f>
        <v>0.20434829174252966</v>
      </c>
      <c r="X22" s="12">
        <f>'UF Geral'!X22/'UF Geral'!X10-1</f>
        <v>0.19023763685453732</v>
      </c>
      <c r="Y22" s="12">
        <f>'UF Geral'!Y22/'UF Geral'!Y10-1</f>
        <v>0.17932448125813272</v>
      </c>
      <c r="Z22" s="12">
        <f>'UF Geral'!Z22/'UF Geral'!Z10-1</f>
        <v>-2.6082800373261716E-2</v>
      </c>
      <c r="AA22" s="12">
        <f>'UF Geral'!AA22/'UF Geral'!AA10-1</f>
        <v>0.15522054238309035</v>
      </c>
      <c r="AB22" s="12">
        <f>'UF Geral'!AB22/'UF Geral'!AB10-1</f>
        <v>0.24985224586288424</v>
      </c>
      <c r="AC22" s="13">
        <f>'UF Geral'!AC22/'UF Geral'!AC10-1</f>
        <v>0.16377251669749127</v>
      </c>
    </row>
    <row r="23" spans="1:29" x14ac:dyDescent="0.35">
      <c r="A23" s="17">
        <f>'UF Geral'!A23</f>
        <v>45870</v>
      </c>
      <c r="B23" s="12">
        <f>'UF Geral'!B23/'UF Geral'!B11-1</f>
        <v>0.10012020080605244</v>
      </c>
      <c r="C23" s="12">
        <f>'UF Geral'!C23/'UF Geral'!C11-1</f>
        <v>-0.10579875310048936</v>
      </c>
      <c r="D23" s="12">
        <f>'UF Geral'!D23/'UF Geral'!D11-1</f>
        <v>0.64232655176537823</v>
      </c>
      <c r="E23" s="12">
        <f>'UF Geral'!E23/'UF Geral'!E11-1</f>
        <v>0.14918320507627914</v>
      </c>
      <c r="F23" s="12">
        <f>'UF Geral'!F23/'UF Geral'!F11-1</f>
        <v>0.11660593957268395</v>
      </c>
      <c r="G23" s="12">
        <f>'UF Geral'!G23/'UF Geral'!G11-1</f>
        <v>0.19065761139638893</v>
      </c>
      <c r="H23" s="12">
        <f>'UF Geral'!H23/'UF Geral'!H11-1</f>
        <v>0.26427785429556261</v>
      </c>
      <c r="I23" s="12">
        <f>'UF Geral'!I23/'UF Geral'!I11-1</f>
        <v>7.1293590736162038E-2</v>
      </c>
      <c r="J23" s="12">
        <f>'UF Geral'!J23/'UF Geral'!J11-1</f>
        <v>0.25455531783291585</v>
      </c>
      <c r="K23" s="12">
        <f>'UF Geral'!K23/'UF Geral'!K11-1</f>
        <v>5.8118779984501767E-2</v>
      </c>
      <c r="L23" s="12">
        <f>'UF Geral'!L23/'UF Geral'!L11-1</f>
        <v>0.23831213490384529</v>
      </c>
      <c r="M23" s="12">
        <f>'UF Geral'!M23/'UF Geral'!M11-1</f>
        <v>0.31584203582921333</v>
      </c>
      <c r="N23" s="12">
        <f>'UF Geral'!N23/'UF Geral'!N11-1</f>
        <v>-5.5370208531349885E-2</v>
      </c>
      <c r="O23" s="12">
        <f>'UF Geral'!O23/'UF Geral'!O11-1</f>
        <v>0.21696224922031382</v>
      </c>
      <c r="P23" s="12">
        <f>'UF Geral'!P23/'UF Geral'!P11-1</f>
        <v>0.33545612314193018</v>
      </c>
      <c r="Q23" s="12">
        <f>'UF Geral'!Q23/'UF Geral'!Q11-1</f>
        <v>0.10042380882445512</v>
      </c>
      <c r="R23" s="12">
        <f>'UF Geral'!R23/'UF Geral'!R11-1</f>
        <v>0.17660952737307367</v>
      </c>
      <c r="S23" s="12">
        <f>'UF Geral'!S23/'UF Geral'!S11-1</f>
        <v>0.19500700516933178</v>
      </c>
      <c r="T23" s="12">
        <f>'UF Geral'!T23/'UF Geral'!T11-1</f>
        <v>0.22068801624371148</v>
      </c>
      <c r="U23" s="12">
        <f>'UF Geral'!U23/'UF Geral'!U11-1</f>
        <v>0.19541348755314436</v>
      </c>
      <c r="V23" s="12">
        <f>'UF Geral'!V23/'UF Geral'!V11-1</f>
        <v>2.8475456141690225E-2</v>
      </c>
      <c r="W23" s="12">
        <f>'UF Geral'!W23/'UF Geral'!W11-1</f>
        <v>0.23212368477560652</v>
      </c>
      <c r="X23" s="12">
        <f>'UF Geral'!X23/'UF Geral'!X11-1</f>
        <v>0.2193844844868178</v>
      </c>
      <c r="Y23" s="12">
        <f>'UF Geral'!Y23/'UF Geral'!Y11-1</f>
        <v>0.20469943325003248</v>
      </c>
      <c r="Z23" s="12">
        <f>'UF Geral'!Z23/'UF Geral'!Z11-1</f>
        <v>-5.5770153825055457E-3</v>
      </c>
      <c r="AA23" s="12">
        <f>'UF Geral'!AA23/'UF Geral'!AA11-1</f>
        <v>0.17629972604783739</v>
      </c>
      <c r="AB23" s="12">
        <f>'UF Geral'!AB23/'UF Geral'!AB11-1</f>
        <v>0.30171394799054374</v>
      </c>
      <c r="AC23" s="13">
        <f>'UF Geral'!AC23/'UF Geral'!AC11-1</f>
        <v>0.18524678661061444</v>
      </c>
    </row>
    <row r="24" spans="1:29" x14ac:dyDescent="0.35">
      <c r="A24" s="17">
        <f>'UF Geral'!A24</f>
        <v>45901</v>
      </c>
      <c r="B24" s="12">
        <f>'UF Geral'!B24/'UF Geral'!B12-1</f>
        <v>0.14037575327897911</v>
      </c>
      <c r="C24" s="12">
        <f>'UF Geral'!C24/'UF Geral'!C12-1</f>
        <v>-5.6333901555508215E-2</v>
      </c>
      <c r="D24" s="12">
        <f>'UF Geral'!D24/'UF Geral'!D12-1</f>
        <v>0.68616464666534216</v>
      </c>
      <c r="E24" s="12">
        <f>'UF Geral'!E24/'UF Geral'!E12-1</f>
        <v>0.17973657548125632</v>
      </c>
      <c r="F24" s="12">
        <f>'UF Geral'!F24/'UF Geral'!F12-1</f>
        <v>0.13817266592044208</v>
      </c>
      <c r="G24" s="12">
        <f>'UF Geral'!G24/'UF Geral'!G12-1</f>
        <v>0.22658552505785634</v>
      </c>
      <c r="H24" s="12">
        <f>'UF Geral'!H24/'UF Geral'!H12-1</f>
        <v>0.29365948555371424</v>
      </c>
      <c r="I24" s="12">
        <f>'UF Geral'!I24/'UF Geral'!I12-1</f>
        <v>7.6811343022440193E-2</v>
      </c>
      <c r="J24" s="12">
        <f>'UF Geral'!J24/'UF Geral'!J12-1</f>
        <v>0.27879551467809005</v>
      </c>
      <c r="K24" s="12">
        <f>'UF Geral'!K24/'UF Geral'!K12-1</f>
        <v>7.833205113798436E-2</v>
      </c>
      <c r="L24" s="12">
        <f>'UF Geral'!L24/'UF Geral'!L12-1</f>
        <v>0.28380191820528844</v>
      </c>
      <c r="M24" s="12">
        <f>'UF Geral'!M24/'UF Geral'!M12-1</f>
        <v>0.36520470345893052</v>
      </c>
      <c r="N24" s="12">
        <f>'UF Geral'!N24/'UF Geral'!N12-1</f>
        <v>-3.5903666299657022E-2</v>
      </c>
      <c r="O24" s="12">
        <f>'UF Geral'!O24/'UF Geral'!O12-1</f>
        <v>0.24975596151164403</v>
      </c>
      <c r="P24" s="12">
        <f>'UF Geral'!P24/'UF Geral'!P12-1</f>
        <v>0.366874125249397</v>
      </c>
      <c r="Q24" s="12">
        <f>'UF Geral'!Q24/'UF Geral'!Q12-1</f>
        <v>0.13159414810380499</v>
      </c>
      <c r="R24" s="12">
        <f>'UF Geral'!R24/'UF Geral'!R12-1</f>
        <v>0.2041354524026231</v>
      </c>
      <c r="S24" s="12">
        <f>'UF Geral'!S24/'UF Geral'!S12-1</f>
        <v>0.2350411355190174</v>
      </c>
      <c r="T24" s="12">
        <f>'UF Geral'!T24/'UF Geral'!T12-1</f>
        <v>0.26169901645051796</v>
      </c>
      <c r="U24" s="12">
        <f>'UF Geral'!U24/'UF Geral'!U12-1</f>
        <v>0.23015215963915603</v>
      </c>
      <c r="V24" s="12">
        <f>'UF Geral'!V24/'UF Geral'!V12-1</f>
        <v>4.8092270274378679E-2</v>
      </c>
      <c r="W24" s="12">
        <f>'UF Geral'!W24/'UF Geral'!W12-1</f>
        <v>0.27609787370445571</v>
      </c>
      <c r="X24" s="12">
        <f>'UF Geral'!X24/'UF Geral'!X12-1</f>
        <v>0.26288579400058909</v>
      </c>
      <c r="Y24" s="12">
        <f>'UF Geral'!Y24/'UF Geral'!Y12-1</f>
        <v>0.23857337098629849</v>
      </c>
      <c r="Z24" s="12">
        <f>'UF Geral'!Z24/'UF Geral'!Z12-1</f>
        <v>2.6847359582011565E-2</v>
      </c>
      <c r="AA24" s="12">
        <f>'UF Geral'!AA24/'UF Geral'!AA12-1</f>
        <v>0.2079073784255745</v>
      </c>
      <c r="AB24" s="12">
        <f>'UF Geral'!AB24/'UF Geral'!AB12-1</f>
        <v>0.44781606941516738</v>
      </c>
      <c r="AC24" s="13">
        <f>'UF Geral'!AC24/'UF Geral'!AC12-1</f>
        <v>0.21981967618976084</v>
      </c>
    </row>
    <row r="25" spans="1:29" x14ac:dyDescent="0.35">
      <c r="A25" s="17">
        <f>'UF Geral'!A25</f>
        <v>45931</v>
      </c>
      <c r="B25" s="12">
        <f>'UF Geral'!B25/'UF Geral'!B13-1</f>
        <v>0.16134016997963063</v>
      </c>
      <c r="C25" s="12">
        <f>'UF Geral'!C25/'UF Geral'!C13-1</f>
        <v>-2.3387310857446275E-2</v>
      </c>
      <c r="D25" s="12">
        <f>'UF Geral'!D25/'UF Geral'!D13-1</f>
        <v>0.73261835291643673</v>
      </c>
      <c r="E25" s="12">
        <f>'UF Geral'!E25/'UF Geral'!E13-1</f>
        <v>0.2802821632515955</v>
      </c>
      <c r="F25" s="12">
        <f>'UF Geral'!F25/'UF Geral'!F13-1</f>
        <v>0.14645977569424939</v>
      </c>
      <c r="G25" s="12">
        <f>'UF Geral'!G25/'UF Geral'!G13-1</f>
        <v>0.25387299190251778</v>
      </c>
      <c r="H25" s="12">
        <f>'UF Geral'!H25/'UF Geral'!H13-1</f>
        <v>0.31650917489332331</v>
      </c>
      <c r="I25" s="12">
        <f>'UF Geral'!I25/'UF Geral'!I13-1</f>
        <v>9.2944807879676183E-2</v>
      </c>
      <c r="J25" s="12">
        <f>'UF Geral'!J25/'UF Geral'!J13-1</f>
        <v>0.31074117717549776</v>
      </c>
      <c r="K25" s="12">
        <f>'UF Geral'!K25/'UF Geral'!K13-1</f>
        <v>9.3289534624423132E-2</v>
      </c>
      <c r="L25" s="12">
        <f>'UF Geral'!L25/'UF Geral'!L13-1</f>
        <v>0.32303992056970698</v>
      </c>
      <c r="M25" s="12">
        <f>'UF Geral'!M25/'UF Geral'!M13-1</f>
        <v>0.39561025243471093</v>
      </c>
      <c r="N25" s="12">
        <f>'UF Geral'!N25/'UF Geral'!N13-1</f>
        <v>-1.3264392711156758E-2</v>
      </c>
      <c r="O25" s="12">
        <f>'UF Geral'!O25/'UF Geral'!O13-1</f>
        <v>0.27522108754013797</v>
      </c>
      <c r="P25" s="12">
        <f>'UF Geral'!P25/'UF Geral'!P13-1</f>
        <v>0.39254239260056423</v>
      </c>
      <c r="Q25" s="12">
        <f>'UF Geral'!Q25/'UF Geral'!Q13-1</f>
        <v>0.19147079791026034</v>
      </c>
      <c r="R25" s="12">
        <f>'UF Geral'!R25/'UF Geral'!R13-1</f>
        <v>0.22861675710475482</v>
      </c>
      <c r="S25" s="12">
        <f>'UF Geral'!S25/'UF Geral'!S13-1</f>
        <v>0.26318358440365208</v>
      </c>
      <c r="T25" s="12">
        <f>'UF Geral'!T25/'UF Geral'!T13-1</f>
        <v>0.31541429269369803</v>
      </c>
      <c r="U25" s="12">
        <f>'UF Geral'!U25/'UF Geral'!U13-1</f>
        <v>0.26444255560277652</v>
      </c>
      <c r="V25" s="12">
        <f>'UF Geral'!V25/'UF Geral'!V13-1</f>
        <v>7.5500537806880264E-2</v>
      </c>
      <c r="W25" s="12">
        <f>'UF Geral'!W25/'UF Geral'!W13-1</f>
        <v>0.30560806553245112</v>
      </c>
      <c r="X25" s="12">
        <f>'UF Geral'!X25/'UF Geral'!X13-1</f>
        <v>0.32519195995702188</v>
      </c>
      <c r="Y25" s="12">
        <f>'UF Geral'!Y25/'UF Geral'!Y13-1</f>
        <v>0.26962722516704929</v>
      </c>
      <c r="Z25" s="12">
        <f>'UF Geral'!Z25/'UF Geral'!Z13-1</f>
        <v>4.3658660273846239E-2</v>
      </c>
      <c r="AA25" s="12">
        <f>'UF Geral'!AA25/'UF Geral'!AA13-1</f>
        <v>0.22820055511737336</v>
      </c>
      <c r="AB25" s="12">
        <f>'UF Geral'!AB25/'UF Geral'!AB13-1</f>
        <v>0.47925559978895871</v>
      </c>
      <c r="AC25" s="13">
        <f>'UF Geral'!AC25/'UF Geral'!AC13-1</f>
        <v>0.25014656591909556</v>
      </c>
    </row>
    <row r="26" spans="1:29" x14ac:dyDescent="0.35">
      <c r="A26" s="17">
        <f>'UF Geral'!A26</f>
        <v>45962</v>
      </c>
      <c r="B26" s="12">
        <f>'UF Geral'!B26/'UF Geral'!B14-1</f>
        <v>0.28933403094401666</v>
      </c>
      <c r="C26" s="12">
        <f>'UF Geral'!C26/'UF Geral'!C14-1</f>
        <v>5.3787777925708991E-3</v>
      </c>
      <c r="D26" s="12">
        <f>'UF Geral'!D26/'UF Geral'!D14-1</f>
        <v>0.76277162557459266</v>
      </c>
      <c r="E26" s="12">
        <f>'UF Geral'!E26/'UF Geral'!E14-1</f>
        <v>0.4045296404938945</v>
      </c>
      <c r="F26" s="12">
        <f>'UF Geral'!F26/'UF Geral'!F14-1</f>
        <v>0.20664111968159471</v>
      </c>
      <c r="G26" s="12">
        <f>'UF Geral'!G26/'UF Geral'!G14-1</f>
        <v>0.28747919725893301</v>
      </c>
      <c r="H26" s="12">
        <f>'UF Geral'!H26/'UF Geral'!H14-1</f>
        <v>0.34519984037972828</v>
      </c>
      <c r="I26" s="12">
        <f>'UF Geral'!I26/'UF Geral'!I14-1</f>
        <v>0.10055421647236296</v>
      </c>
      <c r="J26" s="12">
        <f>'UF Geral'!J26/'UF Geral'!J14-1</f>
        <v>0.35804882483975087</v>
      </c>
      <c r="K26" s="12">
        <f>'UF Geral'!K26/'UF Geral'!K14-1</f>
        <v>0.2366406369621803</v>
      </c>
      <c r="L26" s="12">
        <f>'UF Geral'!L26/'UF Geral'!L14-1</f>
        <v>0.35071366745303023</v>
      </c>
      <c r="M26" s="12">
        <f>'UF Geral'!M26/'UF Geral'!M14-1</f>
        <v>0.44418492073096938</v>
      </c>
      <c r="N26" s="12">
        <f>'UF Geral'!N26/'UF Geral'!N14-1</f>
        <v>1.3386517548897636E-2</v>
      </c>
      <c r="O26" s="12">
        <f>'UF Geral'!O26/'UF Geral'!O14-1</f>
        <v>0.30270609623710065</v>
      </c>
      <c r="P26" s="12">
        <f>'UF Geral'!P26/'UF Geral'!P14-1</f>
        <v>0.40180473922805215</v>
      </c>
      <c r="Q26" s="12">
        <f>'UF Geral'!Q26/'UF Geral'!Q14-1</f>
        <v>0.23673301494706034</v>
      </c>
      <c r="R26" s="12">
        <f>'UF Geral'!R26/'UF Geral'!R14-1</f>
        <v>0.25423806469348476</v>
      </c>
      <c r="S26" s="12">
        <f>'UF Geral'!S26/'UF Geral'!S14-1</f>
        <v>0.30578991837353686</v>
      </c>
      <c r="T26" s="12">
        <f>'UF Geral'!T26/'UF Geral'!T14-1</f>
        <v>0.34343174508358465</v>
      </c>
      <c r="U26" s="12">
        <f>'UF Geral'!U26/'UF Geral'!U14-1</f>
        <v>0.28003767007758906</v>
      </c>
      <c r="V26" s="12">
        <f>'UF Geral'!V26/'UF Geral'!V14-1</f>
        <v>8.5014274784945165E-2</v>
      </c>
      <c r="W26" s="12">
        <f>'UF Geral'!W26/'UF Geral'!W14-1</f>
        <v>0.35646488082682981</v>
      </c>
      <c r="X26" s="12">
        <f>'UF Geral'!X26/'UF Geral'!X14-1</f>
        <v>0.34566227730441512</v>
      </c>
      <c r="Y26" s="12">
        <f>'UF Geral'!Y26/'UF Geral'!Y14-1</f>
        <v>0.32806732928583071</v>
      </c>
      <c r="Z26" s="12">
        <f>'UF Geral'!Z26/'UF Geral'!Z14-1</f>
        <v>9.9509256110004385E-2</v>
      </c>
      <c r="AA26" s="12">
        <f>'UF Geral'!AA26/'UF Geral'!AA14-1</f>
        <v>0.24739567558322251</v>
      </c>
      <c r="AB26" s="12">
        <f>'UF Geral'!AB26/'UF Geral'!AB14-1</f>
        <v>0.50495662949194542</v>
      </c>
      <c r="AC26" s="13">
        <f>'UF Geral'!AC26/'UF Geral'!AC14-1</f>
        <v>0.28214024660632964</v>
      </c>
    </row>
    <row r="27" spans="1:29" x14ac:dyDescent="0.35">
      <c r="A27" s="19">
        <f>'UF Geral'!A27</f>
        <v>45992</v>
      </c>
      <c r="B27" s="21">
        <f>'UF Geral'!B27/'UF Geral'!B15-1</f>
        <v>0.29919117091238934</v>
      </c>
      <c r="C27" s="21">
        <f>'UF Geral'!C27/'UF Geral'!C15-1</f>
        <v>2.3715415019762931E-2</v>
      </c>
      <c r="D27" s="21">
        <f>'UF Geral'!D27/'UF Geral'!D15-1</f>
        <v>0.78757210139175537</v>
      </c>
      <c r="E27" s="21">
        <f>'UF Geral'!E27/'UF Geral'!E15-1</f>
        <v>0.48963393773520347</v>
      </c>
      <c r="F27" s="21">
        <f>'UF Geral'!F27/'UF Geral'!F15-1</f>
        <v>0.22735226054072366</v>
      </c>
      <c r="G27" s="21">
        <f>'UF Geral'!G27/'UF Geral'!G15-1</f>
        <v>0.3042727243098784</v>
      </c>
      <c r="H27" s="21">
        <f>'UF Geral'!H27/'UF Geral'!H15-1</f>
        <v>0.37462276124665062</v>
      </c>
      <c r="I27" s="21">
        <f>'UF Geral'!I27/'UF Geral'!I15-1</f>
        <v>0.13601094234162736</v>
      </c>
      <c r="J27" s="21">
        <f>'UF Geral'!J27/'UF Geral'!J15-1</f>
        <v>0.29091546759180265</v>
      </c>
      <c r="K27" s="21">
        <f>'UF Geral'!K27/'UF Geral'!K15-1</f>
        <v>0.23040120550009413</v>
      </c>
      <c r="L27" s="21">
        <f>'UF Geral'!L27/'UF Geral'!L15-1</f>
        <v>0.38599349093920865</v>
      </c>
      <c r="M27" s="21">
        <f>'UF Geral'!M27/'UF Geral'!M15-1</f>
        <v>0.481248929034785</v>
      </c>
      <c r="N27" s="21">
        <f>'UF Geral'!N27/'UF Geral'!N15-1</f>
        <v>2.0634191465663143E-2</v>
      </c>
      <c r="O27" s="21">
        <f>'UF Geral'!O27/'UF Geral'!O15-1</f>
        <v>0.30173834079263151</v>
      </c>
      <c r="P27" s="21">
        <f>'UF Geral'!P27/'UF Geral'!P15-1</f>
        <v>0.42273171854323688</v>
      </c>
      <c r="Q27" s="21">
        <f>'UF Geral'!Q27/'UF Geral'!Q15-1</f>
        <v>0.2669967196180032</v>
      </c>
      <c r="R27" s="21">
        <f>'UF Geral'!R27/'UF Geral'!R15-1</f>
        <v>0.25408344328677379</v>
      </c>
      <c r="S27" s="21">
        <f>'UF Geral'!S27/'UF Geral'!S15-1</f>
        <v>0.32274989877241866</v>
      </c>
      <c r="T27" s="21">
        <f>'UF Geral'!T27/'UF Geral'!T15-1</f>
        <v>0.38582249000758839</v>
      </c>
      <c r="U27" s="21">
        <f>'UF Geral'!U27/'UF Geral'!U15-1</f>
        <v>0.31301468594345416</v>
      </c>
      <c r="V27" s="21">
        <f>'UF Geral'!V27/'UF Geral'!V15-1</f>
        <v>0.18867157321188954</v>
      </c>
      <c r="W27" s="21">
        <f>'UF Geral'!W27/'UF Geral'!W15-1</f>
        <v>0.37294736842105269</v>
      </c>
      <c r="X27" s="21">
        <f>'UF Geral'!X27/'UF Geral'!X15-1</f>
        <v>0.36591271086928723</v>
      </c>
      <c r="Y27" s="21">
        <f>'UF Geral'!Y27/'UF Geral'!Y15-1</f>
        <v>0.34395975525315481</v>
      </c>
      <c r="Z27" s="21">
        <f>'UF Geral'!Z27/'UF Geral'!Z15-1</f>
        <v>0.11660569155597034</v>
      </c>
      <c r="AA27" s="21">
        <f>'UF Geral'!AA27/'UF Geral'!AA15-1</f>
        <v>0.24983103572989673</v>
      </c>
      <c r="AB27" s="21">
        <f>'UF Geral'!AB27/'UF Geral'!AB15-1</f>
        <v>0.51825217287772363</v>
      </c>
      <c r="AC27" s="22">
        <f>'UF Geral'!AC27/'UF Geral'!AC15-1</f>
        <v>0.29684218936495532</v>
      </c>
    </row>
    <row r="28" spans="1:29" x14ac:dyDescent="0.35">
      <c r="A28" s="16">
        <f>'UF Geral'!A28</f>
        <v>46023</v>
      </c>
      <c r="B28" s="14">
        <f>'UF Geral'!B28/'UF Geral'!B16-1</f>
        <v>-3.8123383819726686E-2</v>
      </c>
      <c r="C28" s="14">
        <f>'UF Geral'!C28/'UF Geral'!C16-1</f>
        <v>-0.18837659515625615</v>
      </c>
      <c r="D28" s="14">
        <f>'UF Geral'!D28/'UF Geral'!D16-1</f>
        <v>0.73973601412017498</v>
      </c>
      <c r="E28" s="14">
        <f>'UF Geral'!E28/'UF Geral'!E16-1</f>
        <v>0</v>
      </c>
      <c r="F28" s="14">
        <f>'UF Geral'!F28/'UF Geral'!F16-1</f>
        <v>9.7610441438642503E-3</v>
      </c>
      <c r="G28" s="14">
        <f>'UF Geral'!G28/'UF Geral'!G16-1</f>
        <v>0.10970870688830048</v>
      </c>
      <c r="H28" s="14">
        <f>'UF Geral'!H28/'UF Geral'!H16-1</f>
        <v>0.41517367836930519</v>
      </c>
      <c r="I28" s="14">
        <f>'UF Geral'!I28/'UF Geral'!I16-1</f>
        <v>5.1581378672025391E-2</v>
      </c>
      <c r="J28" s="14">
        <f>'UF Geral'!J28/'UF Geral'!J16-1</f>
        <v>6.2282068923555034E-2</v>
      </c>
      <c r="K28" s="14">
        <f>'UF Geral'!K28/'UF Geral'!K16-1</f>
        <v>-6.8722296812639083E-2</v>
      </c>
      <c r="L28" s="14">
        <f>'UF Geral'!L28/'UF Geral'!L16-1</f>
        <v>0.36109636160229752</v>
      </c>
      <c r="M28" s="14">
        <f>'UF Geral'!M28/'UF Geral'!M16-1</f>
        <v>0.43559768299104795</v>
      </c>
      <c r="N28" s="14">
        <f>'UF Geral'!N28/'UF Geral'!N16-1</f>
        <v>0.25331352833638032</v>
      </c>
      <c r="O28" s="14">
        <f>'UF Geral'!O28/'UF Geral'!O16-1</f>
        <v>6.3232500457566232E-2</v>
      </c>
      <c r="P28" s="14">
        <f>'UF Geral'!P28/'UF Geral'!P16-1</f>
        <v>0.18116163439904454</v>
      </c>
      <c r="Q28" s="14">
        <f>'UF Geral'!Q28/'UF Geral'!Q16-1</f>
        <v>7.0299868497639473E-2</v>
      </c>
      <c r="R28" s="14">
        <f>'UF Geral'!R28/'UF Geral'!R16-1</f>
        <v>0.18367982905221925</v>
      </c>
      <c r="S28" s="14">
        <f>'UF Geral'!S28/'UF Geral'!S16-1</f>
        <v>0.31269548518353019</v>
      </c>
      <c r="T28" s="14">
        <f>'UF Geral'!T28/'UF Geral'!T16-1</f>
        <v>0.35622427503726772</v>
      </c>
      <c r="U28" s="14">
        <f>'UF Geral'!U28/'UF Geral'!U16-1</f>
        <v>0.18407170793491723</v>
      </c>
      <c r="V28" s="14">
        <f>'UF Geral'!V28/'UF Geral'!V16-1</f>
        <v>0.23087317674178287</v>
      </c>
      <c r="W28" s="14">
        <f>'UF Geral'!W28/'UF Geral'!W16-1</f>
        <v>4.0095564558013885E-2</v>
      </c>
      <c r="X28" s="14">
        <f>'UF Geral'!X28/'UF Geral'!X16-1</f>
        <v>0.36884121458049934</v>
      </c>
      <c r="Y28" s="14">
        <f>'UF Geral'!Y28/'UF Geral'!Y16-1</f>
        <v>0.34417816542940671</v>
      </c>
      <c r="Z28" s="14">
        <f>'UF Geral'!Z28/'UF Geral'!Z16-1</f>
        <v>-6.0664976743041388E-2</v>
      </c>
      <c r="AA28" s="14">
        <f>'UF Geral'!AA28/'UF Geral'!AA16-1</f>
        <v>0.24151656351303807</v>
      </c>
      <c r="AB28" s="14">
        <f>'UF Geral'!AB28/'UF Geral'!AB16-1</f>
        <v>0.50079981453575972</v>
      </c>
      <c r="AC28" s="15">
        <f>'UF Geral'!AC28/'UF Geral'!AC16-1</f>
        <v>0.24515622923881075</v>
      </c>
    </row>
    <row r="29" spans="1:29" x14ac:dyDescent="0.35">
      <c r="A29" s="17">
        <f>'UF Geral'!A29</f>
        <v>46054</v>
      </c>
      <c r="B29" s="12">
        <f>'UF Geral'!B29/'UF Geral'!B17-1</f>
        <v>-5.5158472312468398E-2</v>
      </c>
      <c r="C29" s="12">
        <f>'UF Geral'!C29/'UF Geral'!C17-1</f>
        <v>-0.18953539996343793</v>
      </c>
      <c r="D29" s="12">
        <f>'UF Geral'!D29/'UF Geral'!D17-1</f>
        <v>0.71251282431613938</v>
      </c>
      <c r="E29" s="12">
        <f>'UF Geral'!E29/'UF Geral'!E17-1</f>
        <v>-2.0406819827529454E-2</v>
      </c>
      <c r="F29" s="12">
        <f>'UF Geral'!F29/'UF Geral'!F17-1</f>
        <v>1.1818123269144998E-3</v>
      </c>
      <c r="G29" s="12">
        <f>'UF Geral'!G29/'UF Geral'!G17-1</f>
        <v>0.10449263253835639</v>
      </c>
      <c r="H29" s="12">
        <f>'UF Geral'!H29/'UF Geral'!H17-1</f>
        <v>0.38771578919107585</v>
      </c>
      <c r="I29" s="12">
        <f>'UF Geral'!I29/'UF Geral'!I17-1</f>
        <v>4.6745596399347944E-2</v>
      </c>
      <c r="J29" s="12">
        <f>'UF Geral'!J29/'UF Geral'!J17-1</f>
        <v>4.7200702454015753E-2</v>
      </c>
      <c r="K29" s="12">
        <f>'UF Geral'!K29/'UF Geral'!K17-1</f>
        <v>-7.9000362844702465E-2</v>
      </c>
      <c r="L29" s="12">
        <f>'UF Geral'!L29/'UF Geral'!L17-1</f>
        <v>0.34498360153606278</v>
      </c>
      <c r="M29" s="12">
        <f>'UF Geral'!M29/'UF Geral'!M17-1</f>
        <v>0.41170937361877669</v>
      </c>
      <c r="N29" s="12">
        <f>'UF Geral'!N29/'UF Geral'!N17-1</f>
        <v>0.2806379091257698</v>
      </c>
      <c r="O29" s="12">
        <f>'UF Geral'!O29/'UF Geral'!O17-1</f>
        <v>4.9073219671400103E-2</v>
      </c>
      <c r="P29" s="12">
        <f>'UF Geral'!P29/'UF Geral'!P17-1</f>
        <v>0.16279480971681948</v>
      </c>
      <c r="Q29" s="12">
        <f>'UF Geral'!Q29/'UF Geral'!Q17-1</f>
        <v>6.0613269891620414E-2</v>
      </c>
      <c r="R29" s="12">
        <f>'UF Geral'!R29/'UF Geral'!R17-1</f>
        <v>0.1818461809222105</v>
      </c>
      <c r="S29" s="12">
        <f>'UF Geral'!S29/'UF Geral'!S17-1</f>
        <v>0.3126353080102342</v>
      </c>
      <c r="T29" s="12">
        <f>'UF Geral'!T29/'UF Geral'!T17-1</f>
        <v>0.3406712533493983</v>
      </c>
      <c r="U29" s="12">
        <f>'UF Geral'!U29/'UF Geral'!U17-1</f>
        <v>0.17033235581622685</v>
      </c>
      <c r="V29" s="12">
        <f>'UF Geral'!V29/'UF Geral'!V17-1</f>
        <v>0.22698565722942532</v>
      </c>
      <c r="W29" s="12">
        <f>'UF Geral'!W29/'UF Geral'!W17-1</f>
        <v>2.6699276469988709E-2</v>
      </c>
      <c r="X29" s="12">
        <f>'UF Geral'!X29/'UF Geral'!X17-1</f>
        <v>0.36164943557210338</v>
      </c>
      <c r="Y29" s="12">
        <f>'UF Geral'!Y29/'UF Geral'!Y17-1</f>
        <v>0.34435071504744186</v>
      </c>
      <c r="Z29" s="12">
        <f>'UF Geral'!Z29/'UF Geral'!Z17-1</f>
        <v>-6.1559172683882002E-2</v>
      </c>
      <c r="AA29" s="12">
        <f>'UF Geral'!AA29/'UF Geral'!AA17-1</f>
        <v>0.22996503743542207</v>
      </c>
      <c r="AB29" s="12">
        <f>'UF Geral'!AB29/'UF Geral'!AB17-1</f>
        <v>0.47994106980961004</v>
      </c>
      <c r="AC29" s="13">
        <f>'UF Geral'!AC29/'UF Geral'!AC17-1</f>
        <v>0.23518229819399794</v>
      </c>
    </row>
    <row r="30" spans="1:29" x14ac:dyDescent="0.35">
      <c r="A30" s="17">
        <f>'UF Geral'!A30</f>
        <v>46082</v>
      </c>
      <c r="B30" s="12">
        <f>'UF Geral'!B30/'UF Geral'!B18-1</f>
        <v>-7.1725205884423215E-2</v>
      </c>
      <c r="C30" s="12">
        <f>'UF Geral'!C30/'UF Geral'!C18-1</f>
        <v>-0.20711231209171765</v>
      </c>
      <c r="D30" s="12">
        <f>'UF Geral'!D30/'UF Geral'!D18-1</f>
        <v>0.67776803622257176</v>
      </c>
      <c r="E30" s="12">
        <f>'UF Geral'!E30/'UF Geral'!E18-1</f>
        <v>-3.1663638723072984E-2</v>
      </c>
      <c r="F30" s="12">
        <f>'UF Geral'!F30/'UF Geral'!F18-1</f>
        <v>-1.4331472267588352E-2</v>
      </c>
      <c r="G30" s="12">
        <f>'UF Geral'!G30/'UF Geral'!G18-1</f>
        <v>8.9563259127994899E-2</v>
      </c>
      <c r="H30" s="12">
        <f>'UF Geral'!H30/'UF Geral'!H18-1</f>
        <v>0.36091400767776904</v>
      </c>
      <c r="I30" s="12">
        <f>'UF Geral'!I30/'UF Geral'!I18-1</f>
        <v>4.4148569175674446E-2</v>
      </c>
      <c r="J30" s="12">
        <f>'UF Geral'!J30/'UF Geral'!J18-1</f>
        <v>3.5229042478921668E-2</v>
      </c>
      <c r="K30" s="12">
        <f>'UF Geral'!K30/'UF Geral'!K18-1</f>
        <v>-0.10040361938428255</v>
      </c>
      <c r="L30" s="12">
        <f>'UF Geral'!L30/'UF Geral'!L18-1</f>
        <v>0.32547608857180599</v>
      </c>
      <c r="M30" s="12">
        <f>'UF Geral'!M30/'UF Geral'!M18-1</f>
        <v>0.38869479925498962</v>
      </c>
      <c r="N30" s="12">
        <f>'UF Geral'!N30/'UF Geral'!N18-1</f>
        <v>0.26101934458086751</v>
      </c>
      <c r="O30" s="12">
        <f>'UF Geral'!O30/'UF Geral'!O18-1</f>
        <v>3.8281566856541049E-2</v>
      </c>
      <c r="P30" s="12">
        <f>'UF Geral'!P30/'UF Geral'!P18-1</f>
        <v>0.15561231312347901</v>
      </c>
      <c r="Q30" s="12">
        <f>'UF Geral'!Q30/'UF Geral'!Q18-1</f>
        <v>4.0979479113132156E-2</v>
      </c>
      <c r="R30" s="12">
        <f>'UF Geral'!R30/'UF Geral'!R18-1</f>
        <v>0.16786658356794404</v>
      </c>
      <c r="S30" s="12">
        <f>'UF Geral'!S30/'UF Geral'!S18-1</f>
        <v>0.29268605420603966</v>
      </c>
      <c r="T30" s="12">
        <f>'UF Geral'!T30/'UF Geral'!T18-1</f>
        <v>0.31882928694198442</v>
      </c>
      <c r="U30" s="12">
        <f>'UF Geral'!U30/'UF Geral'!U18-1</f>
        <v>0.15201223973924027</v>
      </c>
      <c r="V30" s="12">
        <f>'UF Geral'!V30/'UF Geral'!V18-1</f>
        <v>0.21698167847558736</v>
      </c>
      <c r="W30" s="12">
        <f>'UF Geral'!W30/'UF Geral'!W18-1</f>
        <v>7.7450104259755292E-3</v>
      </c>
      <c r="X30" s="12">
        <f>'UF Geral'!X30/'UF Geral'!X18-1</f>
        <v>0.34814640689168819</v>
      </c>
      <c r="Y30" s="12">
        <f>'UF Geral'!Y30/'UF Geral'!Y18-1</f>
        <v>0.33328762862808969</v>
      </c>
      <c r="Z30" s="12">
        <f>'UF Geral'!Z30/'UF Geral'!Z18-1</f>
        <v>-7.5573971909706383E-2</v>
      </c>
      <c r="AA30" s="12">
        <f>'UF Geral'!AA30/'UF Geral'!AA18-1</f>
        <v>0.21282392543486162</v>
      </c>
      <c r="AB30" s="12">
        <f>'UF Geral'!AB30/'UF Geral'!AB18-1</f>
        <v>0.47359119927544246</v>
      </c>
      <c r="AC30" s="13">
        <f>'UF Geral'!AC30/'UF Geral'!AC18-1</f>
        <v>0.21824565231162207</v>
      </c>
    </row>
    <row r="31" spans="1:29" x14ac:dyDescent="0.35">
      <c r="A31" s="17">
        <f>'UF Geral'!A31</f>
        <v>46113</v>
      </c>
      <c r="B31" s="12">
        <f>'UF Geral'!B31/'UF Geral'!B19-1</f>
        <v>-9.4939298867821598E-2</v>
      </c>
      <c r="C31" s="12">
        <f>'UF Geral'!C31/'UF Geral'!C19-1</f>
        <v>-0.20116344285173926</v>
      </c>
      <c r="D31" s="12">
        <f>'UF Geral'!D31/'UF Geral'!D19-1</f>
        <v>0.63336467365439741</v>
      </c>
      <c r="E31" s="12">
        <f>'UF Geral'!E31/'UF Geral'!E19-1</f>
        <v>-6.2664000999625102E-2</v>
      </c>
      <c r="F31" s="12">
        <f>'UF Geral'!F31/'UF Geral'!F19-1</f>
        <v>-2.7872085980089167E-2</v>
      </c>
      <c r="G31" s="12">
        <f>'UF Geral'!G31/'UF Geral'!G19-1</f>
        <v>7.4376751203391045E-2</v>
      </c>
      <c r="H31" s="12">
        <f>'UF Geral'!H31/'UF Geral'!H19-1</f>
        <v>0.31870822371319596</v>
      </c>
      <c r="I31" s="12">
        <f>'UF Geral'!I31/'UF Geral'!I19-1</f>
        <v>3.0474783641881054E-2</v>
      </c>
      <c r="J31" s="12">
        <f>'UF Geral'!J31/'UF Geral'!J19-1</f>
        <v>1.1598790819570048E-2</v>
      </c>
      <c r="K31" s="12">
        <f>'UF Geral'!K31/'UF Geral'!K19-1</f>
        <v>-0.10213768522434041</v>
      </c>
      <c r="L31" s="12">
        <f>'UF Geral'!L31/'UF Geral'!L19-1</f>
        <v>0.29622974164236804</v>
      </c>
      <c r="M31" s="12">
        <f>'UF Geral'!M31/'UF Geral'!M19-1</f>
        <v>0.44006241378530553</v>
      </c>
      <c r="N31" s="12">
        <f>'UF Geral'!N31/'UF Geral'!N19-1</f>
        <v>0.24378808854382239</v>
      </c>
      <c r="O31" s="12">
        <f>'UF Geral'!O31/'UF Geral'!O19-1</f>
        <v>2.2600666596002794E-2</v>
      </c>
      <c r="P31" s="12">
        <f>'UF Geral'!P31/'UF Geral'!P19-1</f>
        <v>0.10358311997656267</v>
      </c>
      <c r="Q31" s="12">
        <f>'UF Geral'!Q31/'UF Geral'!Q19-1</f>
        <v>2.3272339669568209E-2</v>
      </c>
      <c r="R31" s="12">
        <f>'UF Geral'!R31/'UF Geral'!R19-1</f>
        <v>0.14710854185362199</v>
      </c>
      <c r="S31" s="12">
        <f>'UF Geral'!S31/'UF Geral'!S19-1</f>
        <v>0.26011873353836101</v>
      </c>
      <c r="T31" s="12">
        <f>'UF Geral'!T31/'UF Geral'!T19-1</f>
        <v>0.28069563203425263</v>
      </c>
      <c r="U31" s="12">
        <f>'UF Geral'!U31/'UF Geral'!U19-1</f>
        <v>0.12281917966493361</v>
      </c>
      <c r="V31" s="12">
        <f>'UF Geral'!V31/'UF Geral'!V19-1</f>
        <v>0.21777084055960216</v>
      </c>
      <c r="W31" s="12">
        <f>'UF Geral'!W31/'UF Geral'!W19-1</f>
        <v>-1.2955854126679434E-2</v>
      </c>
      <c r="X31" s="12">
        <f>'UF Geral'!X31/'UF Geral'!X19-1</f>
        <v>0.30967697547215245</v>
      </c>
      <c r="Y31" s="12">
        <f>'UF Geral'!Y31/'UF Geral'!Y19-1</f>
        <v>0.31724250113865571</v>
      </c>
      <c r="Z31" s="12">
        <f>'UF Geral'!Z31/'UF Geral'!Z19-1</f>
        <v>-8.3831910516234287E-2</v>
      </c>
      <c r="AA31" s="12">
        <f>'UF Geral'!AA31/'UF Geral'!AA19-1</f>
        <v>0.19389991536894957</v>
      </c>
      <c r="AB31" s="12">
        <f>'UF Geral'!AB31/'UF Geral'!AB19-1</f>
        <v>0.44392064846416379</v>
      </c>
      <c r="AC31" s="13">
        <f>'UF Geral'!AC31/'UF Geral'!AC19-1</f>
        <v>0.19595612264399009</v>
      </c>
    </row>
    <row r="32" spans="1:29" x14ac:dyDescent="0.35">
      <c r="A32" s="17">
        <f>'UF Geral'!A32</f>
        <v>46143</v>
      </c>
      <c r="B32" s="12">
        <f>'UF Geral'!B32/'UF Geral'!B20-1</f>
        <v>-0.10669792364367048</v>
      </c>
      <c r="C32" s="12">
        <f>'UF Geral'!C32/'UF Geral'!C20-1</f>
        <v>-0.26070831117969728</v>
      </c>
      <c r="D32" s="12">
        <f>'UF Geral'!D32/'UF Geral'!D20-1</f>
        <v>0.59765056366159985</v>
      </c>
      <c r="E32" s="12">
        <f>'UF Geral'!E32/'UF Geral'!E20-1</f>
        <v>-6.9154842689697738E-2</v>
      </c>
      <c r="F32" s="12">
        <f>'UF Geral'!F32/'UF Geral'!F20-1</f>
        <v>-3.7044414073751808E-2</v>
      </c>
      <c r="G32" s="12">
        <f>'UF Geral'!G32/'UF Geral'!G20-1</f>
        <v>6.0422907488986821E-2</v>
      </c>
      <c r="H32" s="12">
        <f>'UF Geral'!H32/'UF Geral'!H20-1</f>
        <v>0.30102260561387095</v>
      </c>
      <c r="I32" s="12">
        <f>'UF Geral'!I32/'UF Geral'!I20-1</f>
        <v>3.7661066578229985E-2</v>
      </c>
      <c r="J32" s="12">
        <f>'UF Geral'!J32/'UF Geral'!J20-1</f>
        <v>1.0545723028598575E-2</v>
      </c>
      <c r="K32" s="12">
        <f>'UF Geral'!K32/'UF Geral'!K20-1</f>
        <v>-0.10114254250120447</v>
      </c>
      <c r="L32" s="12">
        <f>'UF Geral'!L32/'UF Geral'!L20-1</f>
        <v>0.2718937018879608</v>
      </c>
      <c r="M32" s="12">
        <f>'UF Geral'!M32/'UF Geral'!M20-1</f>
        <v>0.30569748580697476</v>
      </c>
      <c r="N32" s="12">
        <f>'UF Geral'!N32/'UF Geral'!N20-1</f>
        <v>0.2468037483797394</v>
      </c>
      <c r="O32" s="12">
        <f>'UF Geral'!O32/'UF Geral'!O20-1</f>
        <v>1.5941464662021287E-2</v>
      </c>
      <c r="P32" s="12">
        <f>'UF Geral'!P32/'UF Geral'!P20-1</f>
        <v>6.5026664372957121E-2</v>
      </c>
      <c r="Q32" s="12">
        <f>'UF Geral'!Q32/'UF Geral'!Q20-1</f>
        <v>1.5788711794861632E-2</v>
      </c>
      <c r="R32" s="12">
        <f>'UF Geral'!R32/'UF Geral'!R20-1</f>
        <v>0.14098258706467659</v>
      </c>
      <c r="S32" s="12">
        <f>'UF Geral'!S32/'UF Geral'!S20-1</f>
        <v>0.24511462202345502</v>
      </c>
      <c r="T32" s="12">
        <f>'UF Geral'!T32/'UF Geral'!T20-1</f>
        <v>0.26369946176569137</v>
      </c>
      <c r="U32" s="12">
        <f>'UF Geral'!U32/'UF Geral'!U20-1</f>
        <v>0.1119721871049304</v>
      </c>
      <c r="V32" s="12">
        <f>'UF Geral'!V32/'UF Geral'!V20-1</f>
        <v>0.21526154781584306</v>
      </c>
      <c r="W32" s="12">
        <f>'UF Geral'!W32/'UF Geral'!W20-1</f>
        <v>-1.7063228742060899E-2</v>
      </c>
      <c r="X32" s="12">
        <f>'UF Geral'!X32/'UF Geral'!X20-1</f>
        <v>0.28408570620161022</v>
      </c>
      <c r="Y32" s="12">
        <f>'UF Geral'!Y32/'UF Geral'!Y20-1</f>
        <v>0.28205400078587428</v>
      </c>
      <c r="Z32" s="12">
        <f>'UF Geral'!Z32/'UF Geral'!Z20-1</f>
        <v>-7.2968649268164598E-2</v>
      </c>
      <c r="AA32" s="12">
        <f>'UF Geral'!AA32/'UF Geral'!AA20-1</f>
        <v>0.17888199158011919</v>
      </c>
      <c r="AB32" s="12">
        <f>'UF Geral'!AB32/'UF Geral'!AB20-1</f>
        <v>0.44889436428556517</v>
      </c>
      <c r="AC32" s="13">
        <f>'UF Geral'!AC32/'UF Geral'!AC20-1</f>
        <v>0.17937246732308054</v>
      </c>
    </row>
    <row r="33" spans="1:29" x14ac:dyDescent="0.35">
      <c r="A33" s="17">
        <f>'UF Geral'!A33</f>
        <v>46174</v>
      </c>
      <c r="B33" s="12">
        <f>'UF Geral'!B33/'UF Geral'!B21-1</f>
        <v>-0.10720480320213477</v>
      </c>
      <c r="C33" s="12">
        <f>'UF Geral'!C33/'UF Geral'!C21-1</f>
        <v>-0.25689391781673188</v>
      </c>
      <c r="D33" s="12">
        <f>'UF Geral'!D33/'UF Geral'!D21-1</f>
        <v>0.57671032834764135</v>
      </c>
      <c r="E33" s="12">
        <f>'UF Geral'!E33/'UF Geral'!E21-1</f>
        <v>-6.7924063116370781E-2</v>
      </c>
      <c r="F33" s="12">
        <f>'UF Geral'!F33/'UF Geral'!F21-1</f>
        <v>-2.5279746191960717E-2</v>
      </c>
      <c r="G33" s="12">
        <f>'UF Geral'!G33/'UF Geral'!G21-1</f>
        <v>5.6888124284394159E-2</v>
      </c>
      <c r="H33" s="12">
        <f>'UF Geral'!H33/'UF Geral'!H21-1</f>
        <v>0.28938842615538984</v>
      </c>
      <c r="I33" s="12">
        <f>'UF Geral'!I33/'UF Geral'!I21-1</f>
        <v>5.1493530052001413E-2</v>
      </c>
      <c r="J33" s="12">
        <f>'UF Geral'!J33/'UF Geral'!J21-1</f>
        <v>2.8277699577718973E-3</v>
      </c>
      <c r="K33" s="12">
        <f>'UF Geral'!K33/'UF Geral'!K21-1</f>
        <v>-3.268670200978474E-2</v>
      </c>
      <c r="L33" s="12">
        <f>'UF Geral'!L33/'UF Geral'!L21-1</f>
        <v>0.27481218455031065</v>
      </c>
      <c r="M33" s="12">
        <f>'UF Geral'!M33/'UF Geral'!M21-1</f>
        <v>0.29075342804322246</v>
      </c>
      <c r="N33" s="12">
        <f>'UF Geral'!N33/'UF Geral'!N21-1</f>
        <v>0.24937809637929464</v>
      </c>
      <c r="O33" s="12">
        <f>'UF Geral'!O33/'UF Geral'!O21-1</f>
        <v>1.3106001894428676E-2</v>
      </c>
      <c r="P33" s="12">
        <f>'UF Geral'!P33/'UF Geral'!P21-1</f>
        <v>3.431366742866615E-2</v>
      </c>
      <c r="Q33" s="12">
        <f>'UF Geral'!Q33/'UF Geral'!Q21-1</f>
        <v>1.6360110419614271E-2</v>
      </c>
      <c r="R33" s="12">
        <f>'UF Geral'!R33/'UF Geral'!R21-1</f>
        <v>0.14432925821906495</v>
      </c>
      <c r="S33" s="12">
        <f>'UF Geral'!S33/'UF Geral'!S21-1</f>
        <v>0.22665165323174707</v>
      </c>
      <c r="T33" s="12">
        <f>'UF Geral'!T33/'UF Geral'!T21-1</f>
        <v>0.24459506221132288</v>
      </c>
      <c r="U33" s="12">
        <f>'UF Geral'!U33/'UF Geral'!U21-1</f>
        <v>0.10518796992481194</v>
      </c>
      <c r="V33" s="12">
        <f>'UF Geral'!V33/'UF Geral'!V21-1</f>
        <v>0.20387438289565063</v>
      </c>
      <c r="W33" s="12">
        <f>'UF Geral'!W33/'UF Geral'!W21-1</f>
        <v>-4.049586776859504E-2</v>
      </c>
      <c r="X33" s="12">
        <f>'UF Geral'!X33/'UF Geral'!X21-1</f>
        <v>0.27553323381322259</v>
      </c>
      <c r="Y33" s="12">
        <f>'UF Geral'!Y33/'UF Geral'!Y21-1</f>
        <v>0.27367143571541819</v>
      </c>
      <c r="Z33" s="12">
        <f>'UF Geral'!Z33/'UF Geral'!Z21-1</f>
        <v>-6.7772050264864436E-2</v>
      </c>
      <c r="AA33" s="12">
        <f>'UF Geral'!AA33/'UF Geral'!AA21-1</f>
        <v>0.17907200689026803</v>
      </c>
      <c r="AB33" s="12">
        <f>'UF Geral'!AB33/'UF Geral'!AB21-1</f>
        <v>0.44634156328051433</v>
      </c>
      <c r="AC33" s="13">
        <f>'UF Geral'!AC33/'UF Geral'!AC21-1</f>
        <v>0.17681810545255505</v>
      </c>
    </row>
    <row r="34" spans="1:29" x14ac:dyDescent="0.35">
      <c r="A34" s="17">
        <f>'UF Geral'!A34</f>
        <v>46204</v>
      </c>
      <c r="B34" s="12">
        <f>'UF Geral'!B34/'UF Geral'!B22-1</f>
        <v>-0.12603832820982408</v>
      </c>
      <c r="C34" s="12">
        <f>'UF Geral'!C34/'UF Geral'!C22-1</f>
        <v>-0.26926939652432591</v>
      </c>
      <c r="D34" s="12">
        <f>'UF Geral'!D34/'UF Geral'!D22-1</f>
        <v>0.21336763100667611</v>
      </c>
      <c r="E34" s="12">
        <f>'UF Geral'!E34/'UF Geral'!E22-1</f>
        <v>-9.9958325891528199E-2</v>
      </c>
      <c r="F34" s="12">
        <f>'UF Geral'!F34/'UF Geral'!F22-1</f>
        <v>-3.9973425202768142E-2</v>
      </c>
      <c r="G34" s="12">
        <f>'UF Geral'!G34/'UF Geral'!G22-1</f>
        <v>3.5814112032723555E-2</v>
      </c>
      <c r="H34" s="12">
        <f>'UF Geral'!H34/'UF Geral'!H22-1</f>
        <v>0.25691053097500771</v>
      </c>
      <c r="I34" s="12">
        <f>'UF Geral'!I34/'UF Geral'!I22-1</f>
        <v>3.0644413172852492E-2</v>
      </c>
      <c r="J34" s="12">
        <f>'UF Geral'!J34/'UF Geral'!J22-1</f>
        <v>-1.1663061645855843E-2</v>
      </c>
      <c r="K34" s="12">
        <f>'UF Geral'!K34/'UF Geral'!K22-1</f>
        <v>-5.2499707685369268E-2</v>
      </c>
      <c r="L34" s="12">
        <f>'UF Geral'!L34/'UF Geral'!L22-1</f>
        <v>0.25074198647442136</v>
      </c>
      <c r="M34" s="12">
        <f>'UF Geral'!M34/'UF Geral'!M22-1</f>
        <v>0.25941542884523239</v>
      </c>
      <c r="N34" s="12">
        <f>'UF Geral'!N34/'UF Geral'!N22-1</f>
        <v>0.22588116336109421</v>
      </c>
      <c r="O34" s="12">
        <f>'UF Geral'!O34/'UF Geral'!O22-1</f>
        <v>-1.0079290417954523E-2</v>
      </c>
      <c r="P34" s="12">
        <f>'UF Geral'!P34/'UF Geral'!P22-1</f>
        <v>9.9576050920096026E-3</v>
      </c>
      <c r="Q34" s="12">
        <f>'UF Geral'!Q34/'UF Geral'!Q22-1</f>
        <v>-2.9253904550070597E-3</v>
      </c>
      <c r="R34" s="12">
        <f>'UF Geral'!R34/'UF Geral'!R22-1</f>
        <v>0.11989084293511221</v>
      </c>
      <c r="S34" s="12">
        <f>'UF Geral'!S34/'UF Geral'!S22-1</f>
        <v>0.20395480225988694</v>
      </c>
      <c r="T34" s="12">
        <f>'UF Geral'!T34/'UF Geral'!T22-1</f>
        <v>0.19991515490789502</v>
      </c>
      <c r="U34" s="12">
        <f>'UF Geral'!U34/'UF Geral'!U22-1</f>
        <v>7.5098525762662405E-2</v>
      </c>
      <c r="V34" s="12">
        <f>'UF Geral'!V34/'UF Geral'!V22-1</f>
        <v>0.21488954012623984</v>
      </c>
      <c r="W34" s="12">
        <f>'UF Geral'!W34/'UF Geral'!W22-1</f>
        <v>-6.8030235660293426E-2</v>
      </c>
      <c r="X34" s="12">
        <f>'UF Geral'!X34/'UF Geral'!X22-1</f>
        <v>0.24674603271708406</v>
      </c>
      <c r="Y34" s="12">
        <f>'UF Geral'!Y34/'UF Geral'!Y22-1</f>
        <v>0.25847545602847388</v>
      </c>
      <c r="Z34" s="12">
        <f>'UF Geral'!Z34/'UF Geral'!Z22-1</f>
        <v>-7.3309808137225096E-2</v>
      </c>
      <c r="AA34" s="12">
        <f>'UF Geral'!AA34/'UF Geral'!AA22-1</f>
        <v>0.1650881023642452</v>
      </c>
      <c r="AB34" s="12">
        <f>'UF Geral'!AB34/'UF Geral'!AB22-1</f>
        <v>0.40970169838830439</v>
      </c>
      <c r="AC34" s="13">
        <f>'UF Geral'!AC34/'UF Geral'!AC22-1</f>
        <v>0.15195887505534467</v>
      </c>
    </row>
    <row r="35" spans="1:29" x14ac:dyDescent="0.35">
      <c r="A35" s="17">
        <f>'UF Geral'!A35</f>
        <v>46235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/>
    </row>
    <row r="36" spans="1:29" x14ac:dyDescent="0.35">
      <c r="A36" s="17">
        <f>'UF Geral'!A36</f>
        <v>46266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/>
    </row>
    <row r="37" spans="1:29" x14ac:dyDescent="0.35">
      <c r="A37" s="17">
        <f>'UF Geral'!A37</f>
        <v>46296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/>
    </row>
    <row r="38" spans="1:29" x14ac:dyDescent="0.35">
      <c r="A38" s="17">
        <f>'UF Geral'!A38</f>
        <v>46327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/>
    </row>
    <row r="39" spans="1:29" x14ac:dyDescent="0.35">
      <c r="A39" s="19">
        <f>'UF Geral'!A39</f>
        <v>46357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2"/>
    </row>
  </sheetData>
  <mergeCells count="1">
    <mergeCell ref="B2:AC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Geral</vt:lpstr>
      <vt:lpstr>Partic%</vt:lpstr>
      <vt:lpstr>Var.Mensal</vt:lpstr>
      <vt:lpstr>Var. Anual</vt:lpstr>
      <vt:lpstr>UF Geral</vt:lpstr>
      <vt:lpstr>UF Part%</vt:lpstr>
      <vt:lpstr>UF Var.Mensal</vt:lpstr>
      <vt:lpstr>UF Var.Anual</vt:lpstr>
    </vt:vector>
  </TitlesOfParts>
  <Company>Serasa Experian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Passos, Carlos</dc:creator>
  <cp:lastModifiedBy>Moraes, Juliana</cp:lastModifiedBy>
  <dcterms:created xsi:type="dcterms:W3CDTF">2017-04-19T15:50:17Z</dcterms:created>
  <dcterms:modified xsi:type="dcterms:W3CDTF">2026-09-01T19:05:57Z</dcterms:modified>
</cp:coreProperties>
</file>