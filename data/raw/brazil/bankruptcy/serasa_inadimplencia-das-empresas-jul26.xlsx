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Indicadores\Séries Históricas\Site\"/>
    </mc:Choice>
  </mc:AlternateContent>
  <xr:revisionPtr revIDLastSave="0" documentId="13_ncr:1_{E0D56CC5-8394-4AD5-821A-02DB30478E58}" xr6:coauthVersionLast="47" xr6:coauthVersionMax="47" xr10:uidLastSave="{00000000-0000-0000-0000-000000000000}"/>
  <bookViews>
    <workbookView xWindow="-110" yWindow="-110" windowWidth="19420" windowHeight="10300" tabRatio="801" xr2:uid="{00000000-000D-0000-FFFF-FFFF00000000}"/>
  </bookViews>
  <sheets>
    <sheet name="Empresas Inadimplentes" sheetId="2" r:id="rId1"/>
    <sheet name="Setores Negativados" sheetId="3" r:id="rId2"/>
    <sheet name="Setores" sheetId="4" r:id="rId3"/>
    <sheet name="MPM" sheetId="9" r:id="rId4"/>
    <sheet name="Micro e Pequenas" sheetId="6" r:id="rId5"/>
    <sheet name="Médias" sheetId="7" r:id="rId6"/>
    <sheet name="Grandes" sheetId="8" r:id="rId7"/>
    <sheet name="AC" sheetId="11" r:id="rId8"/>
    <sheet name="AL" sheetId="12" r:id="rId9"/>
    <sheet name="AM" sheetId="13" r:id="rId10"/>
    <sheet name="AP" sheetId="14" r:id="rId11"/>
    <sheet name="BA" sheetId="15" r:id="rId12"/>
    <sheet name="CE" sheetId="16" r:id="rId13"/>
    <sheet name="DF" sheetId="17" r:id="rId14"/>
    <sheet name="ES" sheetId="18" r:id="rId15"/>
    <sheet name="GO" sheetId="19" r:id="rId16"/>
    <sheet name="MA" sheetId="20" r:id="rId17"/>
    <sheet name="MG" sheetId="21" r:id="rId18"/>
    <sheet name="MS" sheetId="22" r:id="rId19"/>
    <sheet name="MT" sheetId="23" r:id="rId20"/>
    <sheet name="PA" sheetId="24" r:id="rId21"/>
    <sheet name="PB" sheetId="25" r:id="rId22"/>
    <sheet name="PE" sheetId="26" r:id="rId23"/>
    <sheet name="PI" sheetId="27" r:id="rId24"/>
    <sheet name="PR" sheetId="28" r:id="rId25"/>
    <sheet name="RJ" sheetId="29" r:id="rId26"/>
    <sheet name="RN" sheetId="30" r:id="rId27"/>
    <sheet name="RO" sheetId="31" r:id="rId28"/>
    <sheet name="RR" sheetId="32" r:id="rId29"/>
    <sheet name="RS" sheetId="33" r:id="rId30"/>
    <sheet name="SC" sheetId="34" r:id="rId31"/>
    <sheet name="SE" sheetId="35" r:id="rId32"/>
    <sheet name="SP" sheetId="36" r:id="rId33"/>
    <sheet name="TO" sheetId="37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F4" i="2"/>
  <c r="G4" i="2" s="1"/>
  <c r="E5" i="2"/>
  <c r="F5" i="2"/>
  <c r="G5" i="2" s="1"/>
  <c r="E6" i="2"/>
  <c r="F6" i="2"/>
  <c r="G6" i="2" s="1"/>
  <c r="E7" i="2"/>
  <c r="F7" i="2"/>
  <c r="G7" i="2" s="1"/>
  <c r="E8" i="2"/>
  <c r="F8" i="2"/>
  <c r="G8" i="2" s="1"/>
  <c r="E9" i="2"/>
  <c r="F9" i="2"/>
  <c r="G9" i="2" s="1"/>
  <c r="E10" i="2"/>
  <c r="F10" i="2"/>
  <c r="G10" i="2" s="1"/>
  <c r="E11" i="2"/>
  <c r="F11" i="2"/>
  <c r="G11" i="2"/>
  <c r="E12" i="2"/>
  <c r="F12" i="2"/>
  <c r="G12" i="2" s="1"/>
  <c r="E13" i="2"/>
  <c r="F13" i="2"/>
  <c r="E14" i="2"/>
  <c r="G14" i="2" s="1"/>
  <c r="F14" i="2"/>
  <c r="E15" i="2"/>
  <c r="F15" i="2"/>
  <c r="G15" i="2"/>
  <c r="E34" i="30"/>
  <c r="F34" i="30"/>
  <c r="G34" i="30" s="1"/>
  <c r="G13" i="2" l="1"/>
  <c r="B35" i="9"/>
  <c r="C35" i="9"/>
  <c r="D35" i="9"/>
  <c r="F35" i="9" s="1"/>
  <c r="E34" i="37"/>
  <c r="F34" i="37"/>
  <c r="G34" i="37" s="1"/>
  <c r="E34" i="36"/>
  <c r="F34" i="36"/>
  <c r="E34" i="35"/>
  <c r="F34" i="35"/>
  <c r="G34" i="35" s="1"/>
  <c r="E34" i="34"/>
  <c r="F34" i="34"/>
  <c r="G34" i="34" s="1"/>
  <c r="E34" i="33"/>
  <c r="F34" i="33"/>
  <c r="E34" i="32"/>
  <c r="F34" i="32"/>
  <c r="G34" i="32" s="1"/>
  <c r="E34" i="31"/>
  <c r="F34" i="31"/>
  <c r="G34" i="31" s="1"/>
  <c r="E34" i="29"/>
  <c r="F34" i="29"/>
  <c r="G34" i="29" s="1"/>
  <c r="E34" i="28"/>
  <c r="F34" i="28"/>
  <c r="E34" i="27"/>
  <c r="F34" i="27"/>
  <c r="E34" i="26"/>
  <c r="F34" i="26"/>
  <c r="E34" i="25"/>
  <c r="F34" i="25"/>
  <c r="E34" i="24"/>
  <c r="F34" i="24"/>
  <c r="G34" i="24"/>
  <c r="E34" i="23"/>
  <c r="F34" i="23"/>
  <c r="E34" i="22"/>
  <c r="F34" i="22"/>
  <c r="G34" i="22" s="1"/>
  <c r="E34" i="21"/>
  <c r="F34" i="21"/>
  <c r="G34" i="21" s="1"/>
  <c r="E34" i="20"/>
  <c r="F34" i="20"/>
  <c r="G34" i="20" s="1"/>
  <c r="E34" i="19"/>
  <c r="G34" i="19" s="1"/>
  <c r="F34" i="19"/>
  <c r="E34" i="18"/>
  <c r="F34" i="18"/>
  <c r="G34" i="18" s="1"/>
  <c r="E34" i="17"/>
  <c r="F34" i="17"/>
  <c r="G34" i="17" s="1"/>
  <c r="E34" i="16"/>
  <c r="F34" i="16"/>
  <c r="G34" i="16"/>
  <c r="E34" i="15"/>
  <c r="F34" i="15"/>
  <c r="G34" i="15" s="1"/>
  <c r="E34" i="14"/>
  <c r="F34" i="14"/>
  <c r="G34" i="14" s="1"/>
  <c r="E34" i="13"/>
  <c r="F34" i="13"/>
  <c r="E34" i="12"/>
  <c r="F34" i="12"/>
  <c r="G34" i="12" s="1"/>
  <c r="E34" i="11"/>
  <c r="F34" i="11"/>
  <c r="G34" i="23" l="1"/>
  <c r="G34" i="13"/>
  <c r="E35" i="9"/>
  <c r="G35" i="9" s="1"/>
  <c r="G34" i="26"/>
  <c r="G34" i="36"/>
  <c r="G34" i="25"/>
  <c r="G34" i="33"/>
  <c r="G34" i="11"/>
  <c r="G34" i="27"/>
  <c r="G34" i="28"/>
  <c r="E35" i="8"/>
  <c r="F35" i="8"/>
  <c r="G35" i="8" s="1"/>
  <c r="E35" i="7"/>
  <c r="G35" i="7" s="1"/>
  <c r="F35" i="7"/>
  <c r="E35" i="6"/>
  <c r="F35" i="6"/>
  <c r="G35" i="6" s="1"/>
  <c r="E34" i="2"/>
  <c r="F34" i="2"/>
  <c r="G34" i="2" s="1"/>
  <c r="E33" i="12" l="1"/>
  <c r="F33" i="12"/>
  <c r="E33" i="13"/>
  <c r="F33" i="13"/>
  <c r="E33" i="14"/>
  <c r="F33" i="14"/>
  <c r="G33" i="14"/>
  <c r="E33" i="15"/>
  <c r="F33" i="15"/>
  <c r="G33" i="15"/>
  <c r="E33" i="16"/>
  <c r="F33" i="16"/>
  <c r="G33" i="16" s="1"/>
  <c r="E33" i="17"/>
  <c r="F33" i="17"/>
  <c r="G33" i="17" s="1"/>
  <c r="E33" i="18"/>
  <c r="F33" i="18"/>
  <c r="E33" i="19"/>
  <c r="F33" i="19"/>
  <c r="E33" i="20"/>
  <c r="F33" i="20"/>
  <c r="G33" i="20" s="1"/>
  <c r="E33" i="21"/>
  <c r="F33" i="21"/>
  <c r="E33" i="22"/>
  <c r="F33" i="22"/>
  <c r="G33" i="22" s="1"/>
  <c r="E33" i="23"/>
  <c r="F33" i="23"/>
  <c r="G33" i="23" s="1"/>
  <c r="E33" i="24"/>
  <c r="F33" i="24"/>
  <c r="G33" i="24" s="1"/>
  <c r="E33" i="25"/>
  <c r="G33" i="25" s="1"/>
  <c r="F33" i="25"/>
  <c r="E33" i="26"/>
  <c r="F33" i="26"/>
  <c r="G33" i="26" s="1"/>
  <c r="E33" i="27"/>
  <c r="F33" i="27"/>
  <c r="E33" i="28"/>
  <c r="F33" i="28"/>
  <c r="G33" i="28"/>
  <c r="E33" i="29"/>
  <c r="F33" i="29"/>
  <c r="E33" i="30"/>
  <c r="F33" i="30"/>
  <c r="G33" i="30" s="1"/>
  <c r="E33" i="31"/>
  <c r="F33" i="31"/>
  <c r="E33" i="32"/>
  <c r="F33" i="32"/>
  <c r="E33" i="33"/>
  <c r="F33" i="33"/>
  <c r="E33" i="34"/>
  <c r="F33" i="34"/>
  <c r="G33" i="34"/>
  <c r="E33" i="35"/>
  <c r="F33" i="35"/>
  <c r="E33" i="36"/>
  <c r="F33" i="36"/>
  <c r="G33" i="36"/>
  <c r="E33" i="37"/>
  <c r="F33" i="37"/>
  <c r="E33" i="11"/>
  <c r="F33" i="11"/>
  <c r="B34" i="9"/>
  <c r="C34" i="9"/>
  <c r="D34" i="9"/>
  <c r="E34" i="6"/>
  <c r="F34" i="6"/>
  <c r="G34" i="6"/>
  <c r="E34" i="7"/>
  <c r="F34" i="7"/>
  <c r="G34" i="7" s="1"/>
  <c r="E34" i="8"/>
  <c r="F34" i="8"/>
  <c r="G34" i="8"/>
  <c r="K33" i="4"/>
  <c r="L33" i="4"/>
  <c r="E33" i="2"/>
  <c r="F33" i="2"/>
  <c r="B33" i="9"/>
  <c r="C33" i="9"/>
  <c r="E33" i="9" s="1"/>
  <c r="D33" i="9"/>
  <c r="F33" i="9" s="1"/>
  <c r="G33" i="9" s="1"/>
  <c r="E33" i="6"/>
  <c r="F33" i="6"/>
  <c r="G33" i="6"/>
  <c r="E33" i="7"/>
  <c r="F33" i="7"/>
  <c r="G33" i="7" s="1"/>
  <c r="E33" i="8"/>
  <c r="F33" i="8"/>
  <c r="G33" i="31" l="1"/>
  <c r="G33" i="8"/>
  <c r="E34" i="9"/>
  <c r="G33" i="35"/>
  <c r="G33" i="11"/>
  <c r="G33" i="37"/>
  <c r="G33" i="27"/>
  <c r="G33" i="32"/>
  <c r="G33" i="19"/>
  <c r="G33" i="13"/>
  <c r="G33" i="21"/>
  <c r="G33" i="29"/>
  <c r="G33" i="18"/>
  <c r="G33" i="12"/>
  <c r="G33" i="2"/>
  <c r="G33" i="33"/>
  <c r="F34" i="9"/>
  <c r="G34" i="9" s="1"/>
  <c r="E32" i="11"/>
  <c r="F32" i="11"/>
  <c r="G32" i="11" s="1"/>
  <c r="E32" i="12"/>
  <c r="F32" i="12"/>
  <c r="E32" i="13"/>
  <c r="F32" i="13"/>
  <c r="E32" i="14"/>
  <c r="F32" i="14"/>
  <c r="E32" i="15"/>
  <c r="F32" i="15"/>
  <c r="G32" i="15" s="1"/>
  <c r="E32" i="16"/>
  <c r="F32" i="16"/>
  <c r="E32" i="17"/>
  <c r="F32" i="17"/>
  <c r="G32" i="17"/>
  <c r="E32" i="18"/>
  <c r="F32" i="18"/>
  <c r="E32" i="19"/>
  <c r="F32" i="19"/>
  <c r="E32" i="20"/>
  <c r="F32" i="20"/>
  <c r="E32" i="21"/>
  <c r="F32" i="21"/>
  <c r="G32" i="21"/>
  <c r="E32" i="22"/>
  <c r="F32" i="22"/>
  <c r="E32" i="23"/>
  <c r="F32" i="23"/>
  <c r="G32" i="23" s="1"/>
  <c r="E32" i="24"/>
  <c r="F32" i="24"/>
  <c r="G32" i="24" s="1"/>
  <c r="E32" i="25"/>
  <c r="F32" i="25"/>
  <c r="E32" i="26"/>
  <c r="F32" i="26"/>
  <c r="G32" i="26" s="1"/>
  <c r="E32" i="27"/>
  <c r="F32" i="27"/>
  <c r="E32" i="28"/>
  <c r="F32" i="28"/>
  <c r="G32" i="28" s="1"/>
  <c r="E32" i="29"/>
  <c r="F32" i="29"/>
  <c r="E32" i="30"/>
  <c r="F32" i="30"/>
  <c r="E32" i="31"/>
  <c r="F32" i="31"/>
  <c r="G32" i="31" s="1"/>
  <c r="E32" i="32"/>
  <c r="G32" i="32" s="1"/>
  <c r="F32" i="32"/>
  <c r="E32" i="33"/>
  <c r="F32" i="33"/>
  <c r="E32" i="34"/>
  <c r="F32" i="34"/>
  <c r="E32" i="35"/>
  <c r="F32" i="35"/>
  <c r="E32" i="36"/>
  <c r="F32" i="36"/>
  <c r="E32" i="37"/>
  <c r="F32" i="37"/>
  <c r="G32" i="27" l="1"/>
  <c r="G32" i="33"/>
  <c r="G32" i="37"/>
  <c r="G32" i="36"/>
  <c r="G32" i="30"/>
  <c r="G32" i="35"/>
  <c r="G32" i="29"/>
  <c r="G32" i="22"/>
  <c r="G32" i="34"/>
  <c r="G32" i="14"/>
  <c r="G32" i="20"/>
  <c r="G32" i="19"/>
  <c r="G32" i="18"/>
  <c r="G32" i="16"/>
  <c r="G32" i="25"/>
  <c r="G32" i="13"/>
  <c r="G32" i="12"/>
  <c r="K32" i="4"/>
  <c r="L32" i="4"/>
  <c r="E32" i="2"/>
  <c r="F32" i="2"/>
  <c r="E31" i="11"/>
  <c r="F31" i="11"/>
  <c r="E31" i="12"/>
  <c r="F31" i="12"/>
  <c r="E31" i="13"/>
  <c r="F31" i="13"/>
  <c r="E31" i="14"/>
  <c r="F31" i="14"/>
  <c r="E31" i="15"/>
  <c r="F31" i="15"/>
  <c r="G31" i="15" s="1"/>
  <c r="E31" i="16"/>
  <c r="F31" i="16"/>
  <c r="E31" i="17"/>
  <c r="F31" i="17"/>
  <c r="G31" i="17" s="1"/>
  <c r="E31" i="18"/>
  <c r="F31" i="18"/>
  <c r="G31" i="18"/>
  <c r="E31" i="19"/>
  <c r="F31" i="19"/>
  <c r="G31" i="19" s="1"/>
  <c r="E31" i="20"/>
  <c r="F31" i="20"/>
  <c r="E31" i="21"/>
  <c r="F31" i="21"/>
  <c r="G31" i="21" s="1"/>
  <c r="E31" i="22"/>
  <c r="F31" i="22"/>
  <c r="G31" i="22" s="1"/>
  <c r="E31" i="23"/>
  <c r="F31" i="23"/>
  <c r="G31" i="23"/>
  <c r="E31" i="24"/>
  <c r="F31" i="24"/>
  <c r="E31" i="25"/>
  <c r="F31" i="25"/>
  <c r="E31" i="26"/>
  <c r="F31" i="26"/>
  <c r="G31" i="26"/>
  <c r="E31" i="27"/>
  <c r="F31" i="27"/>
  <c r="E31" i="28"/>
  <c r="F31" i="28"/>
  <c r="G31" i="28" s="1"/>
  <c r="E31" i="29"/>
  <c r="F31" i="29"/>
  <c r="E31" i="30"/>
  <c r="F31" i="30"/>
  <c r="E31" i="31"/>
  <c r="F31" i="31"/>
  <c r="G31" i="31" s="1"/>
  <c r="E31" i="32"/>
  <c r="F31" i="32"/>
  <c r="G31" i="32"/>
  <c r="E31" i="33"/>
  <c r="F31" i="33"/>
  <c r="E31" i="34"/>
  <c r="F31" i="34"/>
  <c r="G31" i="34" s="1"/>
  <c r="E31" i="35"/>
  <c r="F31" i="35"/>
  <c r="E31" i="36"/>
  <c r="F31" i="36"/>
  <c r="G31" i="36" s="1"/>
  <c r="E31" i="37"/>
  <c r="G31" i="37" s="1"/>
  <c r="F31" i="37"/>
  <c r="B32" i="9"/>
  <c r="C32" i="9"/>
  <c r="E32" i="9" s="1"/>
  <c r="D32" i="9"/>
  <c r="F32" i="9"/>
  <c r="E32" i="6"/>
  <c r="F32" i="6"/>
  <c r="E32" i="7"/>
  <c r="F32" i="7"/>
  <c r="G32" i="7"/>
  <c r="E32" i="8"/>
  <c r="F32" i="8"/>
  <c r="G32" i="8" s="1"/>
  <c r="K31" i="4"/>
  <c r="L31" i="4"/>
  <c r="E31" i="2"/>
  <c r="F31" i="2"/>
  <c r="G31" i="2" s="1"/>
  <c r="B31" i="9"/>
  <c r="C31" i="9"/>
  <c r="E31" i="9" s="1"/>
  <c r="D31" i="9"/>
  <c r="F31" i="9" s="1"/>
  <c r="E31" i="6"/>
  <c r="F31" i="6"/>
  <c r="G31" i="6"/>
  <c r="E31" i="7"/>
  <c r="F31" i="7"/>
  <c r="G31" i="7" s="1"/>
  <c r="E31" i="8"/>
  <c r="F31" i="8"/>
  <c r="G31" i="8" s="1"/>
  <c r="G31" i="20" l="1"/>
  <c r="G31" i="35"/>
  <c r="G31" i="14"/>
  <c r="G31" i="9"/>
  <c r="G32" i="9"/>
  <c r="G32" i="6"/>
  <c r="G31" i="25"/>
  <c r="G31" i="30"/>
  <c r="G31" i="11"/>
  <c r="G31" i="16"/>
  <c r="G31" i="13"/>
  <c r="G31" i="12"/>
  <c r="G31" i="29"/>
  <c r="G31" i="27"/>
  <c r="G31" i="24"/>
  <c r="G32" i="2"/>
  <c r="G31" i="33"/>
  <c r="E30" i="12"/>
  <c r="F30" i="12"/>
  <c r="G30" i="12" s="1"/>
  <c r="E30" i="13"/>
  <c r="F30" i="13"/>
  <c r="E30" i="14"/>
  <c r="F30" i="14"/>
  <c r="G30" i="14" s="1"/>
  <c r="E30" i="15"/>
  <c r="F30" i="15"/>
  <c r="E30" i="16"/>
  <c r="F30" i="16"/>
  <c r="G30" i="16" s="1"/>
  <c r="E30" i="17"/>
  <c r="F30" i="17"/>
  <c r="G30" i="17" s="1"/>
  <c r="E30" i="18"/>
  <c r="G30" i="18" s="1"/>
  <c r="F30" i="18"/>
  <c r="E30" i="19"/>
  <c r="F30" i="19"/>
  <c r="E30" i="20"/>
  <c r="F30" i="20"/>
  <c r="E30" i="21"/>
  <c r="F30" i="21"/>
  <c r="E30" i="22"/>
  <c r="F30" i="22"/>
  <c r="G30" i="22" s="1"/>
  <c r="E30" i="23"/>
  <c r="F30" i="23"/>
  <c r="G30" i="23"/>
  <c r="E30" i="24"/>
  <c r="F30" i="24"/>
  <c r="E30" i="25"/>
  <c r="F30" i="25"/>
  <c r="E30" i="26"/>
  <c r="F30" i="26"/>
  <c r="E30" i="27"/>
  <c r="F30" i="27"/>
  <c r="G30" i="27" s="1"/>
  <c r="E30" i="28"/>
  <c r="F30" i="28"/>
  <c r="E30" i="29"/>
  <c r="F30" i="29"/>
  <c r="E30" i="30"/>
  <c r="F30" i="30"/>
  <c r="E30" i="31"/>
  <c r="F30" i="31"/>
  <c r="E30" i="32"/>
  <c r="F30" i="32"/>
  <c r="G30" i="32" s="1"/>
  <c r="E30" i="33"/>
  <c r="F30" i="33"/>
  <c r="E30" i="34"/>
  <c r="F30" i="34"/>
  <c r="G30" i="34" s="1"/>
  <c r="E30" i="35"/>
  <c r="F30" i="35"/>
  <c r="E30" i="36"/>
  <c r="F30" i="36"/>
  <c r="G30" i="36" s="1"/>
  <c r="E30" i="37"/>
  <c r="F30" i="37"/>
  <c r="G30" i="37" s="1"/>
  <c r="E30" i="11"/>
  <c r="F30" i="11"/>
  <c r="K30" i="4"/>
  <c r="L30" i="4"/>
  <c r="E30" i="2"/>
  <c r="F30" i="2"/>
  <c r="B30" i="9"/>
  <c r="C30" i="9"/>
  <c r="D30" i="9"/>
  <c r="E30" i="9"/>
  <c r="F30" i="9"/>
  <c r="G30" i="9"/>
  <c r="E30" i="6"/>
  <c r="F30" i="6"/>
  <c r="G30" i="6" s="1"/>
  <c r="E30" i="7"/>
  <c r="F30" i="7"/>
  <c r="G30" i="7" s="1"/>
  <c r="E30" i="8"/>
  <c r="G30" i="8" s="1"/>
  <c r="F30" i="8"/>
  <c r="G30" i="35" l="1"/>
  <c r="G30" i="19"/>
  <c r="G30" i="11"/>
  <c r="G30" i="24"/>
  <c r="G30" i="2"/>
  <c r="G30" i="31"/>
  <c r="G30" i="29"/>
  <c r="G30" i="28"/>
  <c r="G30" i="15"/>
  <c r="G30" i="26"/>
  <c r="G30" i="20"/>
  <c r="G30" i="13"/>
  <c r="G30" i="33"/>
  <c r="G30" i="21"/>
  <c r="G30" i="30"/>
  <c r="G30" i="25"/>
  <c r="E29" i="12"/>
  <c r="F29" i="12"/>
  <c r="G29" i="12" s="1"/>
  <c r="E29" i="13"/>
  <c r="F29" i="13"/>
  <c r="E29" i="14"/>
  <c r="F29" i="14"/>
  <c r="E29" i="15"/>
  <c r="F29" i="15"/>
  <c r="E29" i="16"/>
  <c r="F29" i="16"/>
  <c r="E29" i="17"/>
  <c r="F29" i="17"/>
  <c r="G29" i="17" s="1"/>
  <c r="E29" i="18"/>
  <c r="F29" i="18"/>
  <c r="E29" i="19"/>
  <c r="F29" i="19"/>
  <c r="G29" i="19" s="1"/>
  <c r="E29" i="20"/>
  <c r="F29" i="20"/>
  <c r="E29" i="21"/>
  <c r="F29" i="21"/>
  <c r="E29" i="22"/>
  <c r="F29" i="22"/>
  <c r="G29" i="22"/>
  <c r="E29" i="23"/>
  <c r="F29" i="23"/>
  <c r="G29" i="23"/>
  <c r="E29" i="24"/>
  <c r="F29" i="24"/>
  <c r="E29" i="25"/>
  <c r="F29" i="25"/>
  <c r="E29" i="26"/>
  <c r="F29" i="26"/>
  <c r="E29" i="27"/>
  <c r="F29" i="27"/>
  <c r="E29" i="28"/>
  <c r="F29" i="28"/>
  <c r="E29" i="29"/>
  <c r="F29" i="29"/>
  <c r="E29" i="30"/>
  <c r="F29" i="30"/>
  <c r="E29" i="31"/>
  <c r="F29" i="31"/>
  <c r="E29" i="32"/>
  <c r="F29" i="32"/>
  <c r="G29" i="32"/>
  <c r="E29" i="33"/>
  <c r="F29" i="33"/>
  <c r="E29" i="34"/>
  <c r="F29" i="34"/>
  <c r="G29" i="34" s="1"/>
  <c r="E29" i="35"/>
  <c r="F29" i="35"/>
  <c r="E29" i="36"/>
  <c r="F29" i="36"/>
  <c r="E29" i="37"/>
  <c r="F29" i="37"/>
  <c r="E29" i="11"/>
  <c r="F29" i="11"/>
  <c r="K29" i="4"/>
  <c r="L29" i="4"/>
  <c r="F29" i="2"/>
  <c r="E29" i="2"/>
  <c r="E28" i="11"/>
  <c r="F28" i="11"/>
  <c r="G28" i="11"/>
  <c r="E28" i="12"/>
  <c r="F28" i="12"/>
  <c r="G28" i="12"/>
  <c r="E28" i="13"/>
  <c r="F28" i="13"/>
  <c r="G28" i="13" s="1"/>
  <c r="E28" i="14"/>
  <c r="F28" i="14"/>
  <c r="G28" i="14" s="1"/>
  <c r="E28" i="15"/>
  <c r="F28" i="15"/>
  <c r="G28" i="15" s="1"/>
  <c r="E28" i="16"/>
  <c r="G28" i="16" s="1"/>
  <c r="F28" i="16"/>
  <c r="E28" i="17"/>
  <c r="F28" i="17"/>
  <c r="G28" i="17"/>
  <c r="E28" i="18"/>
  <c r="F28" i="18"/>
  <c r="G28" i="18" s="1"/>
  <c r="E28" i="19"/>
  <c r="F28" i="19"/>
  <c r="G28" i="19" s="1"/>
  <c r="E28" i="20"/>
  <c r="F28" i="20"/>
  <c r="E28" i="21"/>
  <c r="F28" i="21"/>
  <c r="G28" i="21" s="1"/>
  <c r="E28" i="22"/>
  <c r="G28" i="22" s="1"/>
  <c r="F28" i="22"/>
  <c r="E28" i="23"/>
  <c r="F28" i="23"/>
  <c r="G28" i="23" s="1"/>
  <c r="E28" i="24"/>
  <c r="F28" i="24"/>
  <c r="G28" i="24" s="1"/>
  <c r="E28" i="25"/>
  <c r="F28" i="25"/>
  <c r="E28" i="26"/>
  <c r="F28" i="26"/>
  <c r="E28" i="27"/>
  <c r="F28" i="27"/>
  <c r="E28" i="28"/>
  <c r="F28" i="28"/>
  <c r="E28" i="29"/>
  <c r="F28" i="29"/>
  <c r="G28" i="29" s="1"/>
  <c r="E28" i="30"/>
  <c r="F28" i="30"/>
  <c r="G28" i="30"/>
  <c r="E28" i="31"/>
  <c r="F28" i="31"/>
  <c r="E28" i="32"/>
  <c r="F28" i="32"/>
  <c r="G28" i="32" s="1"/>
  <c r="E28" i="33"/>
  <c r="F28" i="33"/>
  <c r="G28" i="33" s="1"/>
  <c r="E28" i="34"/>
  <c r="F28" i="34"/>
  <c r="E28" i="35"/>
  <c r="F28" i="35"/>
  <c r="G28" i="35" s="1"/>
  <c r="E28" i="36"/>
  <c r="F28" i="36"/>
  <c r="G28" i="36"/>
  <c r="E28" i="37"/>
  <c r="F28" i="37"/>
  <c r="B29" i="9"/>
  <c r="C29" i="9"/>
  <c r="D29" i="9"/>
  <c r="E29" i="9"/>
  <c r="F29" i="9"/>
  <c r="E29" i="6"/>
  <c r="F29" i="6"/>
  <c r="E29" i="7"/>
  <c r="F29" i="7"/>
  <c r="G29" i="7"/>
  <c r="E29" i="8"/>
  <c r="G29" i="8" s="1"/>
  <c r="F29" i="8"/>
  <c r="E28" i="2"/>
  <c r="F28" i="2"/>
  <c r="K28" i="4"/>
  <c r="L28" i="4"/>
  <c r="F27" i="11"/>
  <c r="F27" i="12"/>
  <c r="F27" i="13"/>
  <c r="F27" i="14"/>
  <c r="F27" i="15"/>
  <c r="F27" i="16"/>
  <c r="F27" i="17"/>
  <c r="F27" i="18"/>
  <c r="F27" i="19"/>
  <c r="F27" i="20"/>
  <c r="F27" i="21"/>
  <c r="F27" i="22"/>
  <c r="F27" i="23"/>
  <c r="F27" i="24"/>
  <c r="F27" i="25"/>
  <c r="F27" i="26"/>
  <c r="F27" i="27"/>
  <c r="F27" i="28"/>
  <c r="F27" i="29"/>
  <c r="F27" i="30"/>
  <c r="F27" i="31"/>
  <c r="F27" i="32"/>
  <c r="F27" i="33"/>
  <c r="F27" i="34"/>
  <c r="F27" i="35"/>
  <c r="F27" i="36"/>
  <c r="F27" i="37"/>
  <c r="G29" i="37" l="1"/>
  <c r="G29" i="30"/>
  <c r="G28" i="31"/>
  <c r="G29" i="28"/>
  <c r="G29" i="15"/>
  <c r="G29" i="31"/>
  <c r="G29" i="27"/>
  <c r="G29" i="21"/>
  <c r="G29" i="14"/>
  <c r="G28" i="27"/>
  <c r="G28" i="26"/>
  <c r="G29" i="6"/>
  <c r="G28" i="2"/>
  <c r="G28" i="37"/>
  <c r="G28" i="25"/>
  <c r="G29" i="24"/>
  <c r="G29" i="18"/>
  <c r="G29" i="36"/>
  <c r="G28" i="28"/>
  <c r="G29" i="33"/>
  <c r="G29" i="26"/>
  <c r="G29" i="20"/>
  <c r="G29" i="13"/>
  <c r="G29" i="25"/>
  <c r="G29" i="35"/>
  <c r="G28" i="20"/>
  <c r="G29" i="29"/>
  <c r="G28" i="34"/>
  <c r="G29" i="11"/>
  <c r="G29" i="16"/>
  <c r="G29" i="2"/>
  <c r="G29" i="9"/>
  <c r="K27" i="4"/>
  <c r="L27" i="4"/>
  <c r="E28" i="8"/>
  <c r="F28" i="8"/>
  <c r="G28" i="8"/>
  <c r="B28" i="9"/>
  <c r="C28" i="9"/>
  <c r="D28" i="9"/>
  <c r="E28" i="6"/>
  <c r="G28" i="6" s="1"/>
  <c r="F28" i="6"/>
  <c r="E28" i="7"/>
  <c r="F28" i="7"/>
  <c r="G28" i="7" s="1"/>
  <c r="F28" i="9" l="1"/>
  <c r="E28" i="9"/>
  <c r="G28" i="9" s="1"/>
  <c r="B27" i="9"/>
  <c r="F27" i="9" s="1"/>
  <c r="C27" i="9"/>
  <c r="D27" i="9"/>
  <c r="E27" i="6"/>
  <c r="F27" i="6"/>
  <c r="G27" i="6" s="1"/>
  <c r="E27" i="7"/>
  <c r="F27" i="7"/>
  <c r="G27" i="7" s="1"/>
  <c r="E27" i="8"/>
  <c r="F27" i="8"/>
  <c r="G27" i="8"/>
  <c r="K26" i="4"/>
  <c r="L26" i="4"/>
  <c r="F26" i="14"/>
  <c r="F26" i="37"/>
  <c r="F26" i="36"/>
  <c r="F26" i="35"/>
  <c r="F26" i="34"/>
  <c r="F26" i="33"/>
  <c r="F26" i="32"/>
  <c r="F26" i="31"/>
  <c r="F26" i="30"/>
  <c r="F26" i="29"/>
  <c r="F26" i="28"/>
  <c r="F26" i="27"/>
  <c r="F26" i="26"/>
  <c r="F26" i="25"/>
  <c r="F26" i="24"/>
  <c r="F26" i="23"/>
  <c r="F26" i="22"/>
  <c r="F26" i="21"/>
  <c r="F26" i="20"/>
  <c r="F26" i="19"/>
  <c r="F26" i="18"/>
  <c r="F26" i="17"/>
  <c r="F26" i="16"/>
  <c r="F26" i="15"/>
  <c r="F26" i="13"/>
  <c r="F26" i="12"/>
  <c r="F26" i="11"/>
  <c r="E26" i="11"/>
  <c r="B26" i="9"/>
  <c r="C26" i="9"/>
  <c r="D26" i="9"/>
  <c r="F26" i="9" s="1"/>
  <c r="E26" i="9"/>
  <c r="E26" i="6"/>
  <c r="F26" i="6"/>
  <c r="G26" i="6"/>
  <c r="G26" i="9" l="1"/>
  <c r="G26" i="11"/>
  <c r="E27" i="9"/>
  <c r="G27" i="9" s="1"/>
  <c r="E26" i="7"/>
  <c r="F26" i="7"/>
  <c r="G26" i="7"/>
  <c r="E26" i="8"/>
  <c r="F26" i="8"/>
  <c r="G26" i="8" s="1"/>
  <c r="F25" i="11"/>
  <c r="F24" i="11"/>
  <c r="F25" i="12"/>
  <c r="F25" i="13"/>
  <c r="F25" i="14"/>
  <c r="F25" i="15"/>
  <c r="F25" i="16"/>
  <c r="F25" i="17"/>
  <c r="F25" i="18"/>
  <c r="F25" i="19"/>
  <c r="F25" i="20"/>
  <c r="F25" i="21"/>
  <c r="F25" i="22"/>
  <c r="F25" i="23"/>
  <c r="F25" i="24"/>
  <c r="F25" i="25"/>
  <c r="F25" i="26"/>
  <c r="F25" i="27"/>
  <c r="F25" i="28"/>
  <c r="F25" i="29"/>
  <c r="F25" i="30"/>
  <c r="F25" i="31"/>
  <c r="F25" i="32"/>
  <c r="F25" i="33"/>
  <c r="F25" i="34"/>
  <c r="F25" i="35"/>
  <c r="G25" i="35" s="1"/>
  <c r="F25" i="36"/>
  <c r="F25" i="37"/>
  <c r="K25" i="4"/>
  <c r="L25" i="4"/>
  <c r="B25" i="9"/>
  <c r="C25" i="9"/>
  <c r="D25" i="9"/>
  <c r="F25" i="9" s="1"/>
  <c r="E25" i="9"/>
  <c r="E25" i="6"/>
  <c r="F25" i="6"/>
  <c r="E25" i="7"/>
  <c r="F25" i="7"/>
  <c r="E25" i="8"/>
  <c r="F25" i="8"/>
  <c r="G25" i="8" s="1"/>
  <c r="E22" i="2"/>
  <c r="K24" i="4"/>
  <c r="L24" i="4"/>
  <c r="E27" i="37"/>
  <c r="G27" i="37" s="1"/>
  <c r="E26" i="37"/>
  <c r="G26" i="37" s="1"/>
  <c r="E25" i="37"/>
  <c r="F24" i="37"/>
  <c r="E24" i="37"/>
  <c r="E27" i="36"/>
  <c r="G27" i="36" s="1"/>
  <c r="E26" i="36"/>
  <c r="G26" i="36" s="1"/>
  <c r="E25" i="36"/>
  <c r="F24" i="36"/>
  <c r="E24" i="36"/>
  <c r="E27" i="35"/>
  <c r="G27" i="35" s="1"/>
  <c r="E26" i="35"/>
  <c r="G26" i="35" s="1"/>
  <c r="E25" i="35"/>
  <c r="F24" i="35"/>
  <c r="E24" i="35"/>
  <c r="E27" i="34"/>
  <c r="G27" i="34" s="1"/>
  <c r="E26" i="34"/>
  <c r="G26" i="34" s="1"/>
  <c r="E25" i="34"/>
  <c r="F24" i="34"/>
  <c r="E24" i="34"/>
  <c r="E27" i="33"/>
  <c r="G27" i="33" s="1"/>
  <c r="E26" i="33"/>
  <c r="G26" i="33" s="1"/>
  <c r="E25" i="33"/>
  <c r="G25" i="33" s="1"/>
  <c r="F24" i="33"/>
  <c r="E24" i="33"/>
  <c r="E27" i="32"/>
  <c r="G27" i="32" s="1"/>
  <c r="E26" i="32"/>
  <c r="G26" i="32" s="1"/>
  <c r="E25" i="32"/>
  <c r="F24" i="32"/>
  <c r="E24" i="32"/>
  <c r="E27" i="31"/>
  <c r="G27" i="31" s="1"/>
  <c r="E26" i="31"/>
  <c r="G26" i="31" s="1"/>
  <c r="E25" i="31"/>
  <c r="F24" i="31"/>
  <c r="E24" i="31"/>
  <c r="E27" i="30"/>
  <c r="G27" i="30" s="1"/>
  <c r="E26" i="30"/>
  <c r="G26" i="30" s="1"/>
  <c r="E25" i="30"/>
  <c r="G25" i="30" s="1"/>
  <c r="F24" i="30"/>
  <c r="E24" i="30"/>
  <c r="E27" i="29"/>
  <c r="G27" i="29" s="1"/>
  <c r="E26" i="29"/>
  <c r="G26" i="29" s="1"/>
  <c r="E25" i="29"/>
  <c r="F24" i="29"/>
  <c r="E24" i="29"/>
  <c r="E27" i="28"/>
  <c r="G27" i="28" s="1"/>
  <c r="E26" i="28"/>
  <c r="G26" i="28" s="1"/>
  <c r="E25" i="28"/>
  <c r="F24" i="28"/>
  <c r="E24" i="28"/>
  <c r="E27" i="27"/>
  <c r="G27" i="27" s="1"/>
  <c r="E26" i="27"/>
  <c r="G26" i="27" s="1"/>
  <c r="E25" i="27"/>
  <c r="F24" i="27"/>
  <c r="E24" i="27"/>
  <c r="E27" i="26"/>
  <c r="G27" i="26" s="1"/>
  <c r="E26" i="26"/>
  <c r="G26" i="26" s="1"/>
  <c r="E25" i="26"/>
  <c r="F24" i="26"/>
  <c r="E24" i="26"/>
  <c r="E27" i="25"/>
  <c r="G27" i="25" s="1"/>
  <c r="E26" i="25"/>
  <c r="G26" i="25" s="1"/>
  <c r="E25" i="25"/>
  <c r="F24" i="25"/>
  <c r="E24" i="25"/>
  <c r="E27" i="24"/>
  <c r="G27" i="24" s="1"/>
  <c r="E26" i="24"/>
  <c r="G26" i="24" s="1"/>
  <c r="E25" i="24"/>
  <c r="F24" i="24"/>
  <c r="E24" i="24"/>
  <c r="E27" i="23"/>
  <c r="G27" i="23" s="1"/>
  <c r="E26" i="23"/>
  <c r="G26" i="23" s="1"/>
  <c r="E25" i="23"/>
  <c r="F24" i="23"/>
  <c r="E24" i="23"/>
  <c r="E27" i="22"/>
  <c r="G27" i="22" s="1"/>
  <c r="E26" i="22"/>
  <c r="G26" i="22" s="1"/>
  <c r="E25" i="22"/>
  <c r="F24" i="22"/>
  <c r="E24" i="22"/>
  <c r="E27" i="21"/>
  <c r="G27" i="21" s="1"/>
  <c r="E26" i="21"/>
  <c r="G26" i="21" s="1"/>
  <c r="E25" i="21"/>
  <c r="F24" i="21"/>
  <c r="E24" i="21"/>
  <c r="E27" i="20"/>
  <c r="G27" i="20" s="1"/>
  <c r="E26" i="20"/>
  <c r="G26" i="20" s="1"/>
  <c r="E25" i="20"/>
  <c r="F24" i="20"/>
  <c r="E24" i="20"/>
  <c r="E27" i="19"/>
  <c r="G27" i="19" s="1"/>
  <c r="E26" i="19"/>
  <c r="G26" i="19" s="1"/>
  <c r="E25" i="19"/>
  <c r="F24" i="19"/>
  <c r="E24" i="19"/>
  <c r="E27" i="18"/>
  <c r="G27" i="18" s="1"/>
  <c r="E26" i="18"/>
  <c r="G26" i="18" s="1"/>
  <c r="E25" i="18"/>
  <c r="F24" i="18"/>
  <c r="E24" i="18"/>
  <c r="E27" i="17"/>
  <c r="G27" i="17" s="1"/>
  <c r="E26" i="17"/>
  <c r="G26" i="17" s="1"/>
  <c r="E25" i="17"/>
  <c r="F24" i="17"/>
  <c r="E24" i="17"/>
  <c r="E27" i="16"/>
  <c r="G27" i="16" s="1"/>
  <c r="E26" i="16"/>
  <c r="G26" i="16" s="1"/>
  <c r="E25" i="16"/>
  <c r="F24" i="16"/>
  <c r="E24" i="16"/>
  <c r="E27" i="15"/>
  <c r="G27" i="15" s="1"/>
  <c r="E26" i="15"/>
  <c r="G26" i="15" s="1"/>
  <c r="E25" i="15"/>
  <c r="F24" i="15"/>
  <c r="E24" i="15"/>
  <c r="E27" i="14"/>
  <c r="G27" i="14" s="1"/>
  <c r="E26" i="14"/>
  <c r="G26" i="14" s="1"/>
  <c r="E25" i="14"/>
  <c r="F24" i="14"/>
  <c r="E24" i="14"/>
  <c r="E27" i="13"/>
  <c r="G27" i="13" s="1"/>
  <c r="E26" i="13"/>
  <c r="G26" i="13" s="1"/>
  <c r="E25" i="13"/>
  <c r="F24" i="13"/>
  <c r="E24" i="13"/>
  <c r="E27" i="12"/>
  <c r="G27" i="12" s="1"/>
  <c r="E26" i="12"/>
  <c r="G26" i="12" s="1"/>
  <c r="E25" i="12"/>
  <c r="F24" i="12"/>
  <c r="E24" i="12"/>
  <c r="E27" i="11"/>
  <c r="G27" i="11" s="1"/>
  <c r="E25" i="11"/>
  <c r="E24" i="11"/>
  <c r="G24" i="11" s="1"/>
  <c r="E24" i="2"/>
  <c r="F24" i="2"/>
  <c r="E25" i="2"/>
  <c r="F25" i="2"/>
  <c r="E26" i="2"/>
  <c r="F26" i="2"/>
  <c r="G26" i="2" s="1"/>
  <c r="E27" i="2"/>
  <c r="F27" i="2"/>
  <c r="F23" i="2"/>
  <c r="E23" i="2"/>
  <c r="B24" i="9"/>
  <c r="C24" i="9"/>
  <c r="E24" i="9" s="1"/>
  <c r="D24" i="9"/>
  <c r="F24" i="9" s="1"/>
  <c r="E24" i="6"/>
  <c r="F24" i="6"/>
  <c r="G24" i="6"/>
  <c r="E24" i="7"/>
  <c r="F24" i="7"/>
  <c r="E24" i="8"/>
  <c r="F24" i="8"/>
  <c r="G24" i="8"/>
  <c r="E23" i="11"/>
  <c r="F23" i="11"/>
  <c r="E23" i="12"/>
  <c r="F23" i="12"/>
  <c r="G23" i="12"/>
  <c r="E23" i="13"/>
  <c r="F23" i="13"/>
  <c r="E23" i="14"/>
  <c r="F23" i="14"/>
  <c r="G23" i="14" s="1"/>
  <c r="E23" i="15"/>
  <c r="F23" i="15"/>
  <c r="E23" i="16"/>
  <c r="F23" i="16"/>
  <c r="E23" i="17"/>
  <c r="F23" i="17"/>
  <c r="E23" i="18"/>
  <c r="F23" i="18"/>
  <c r="E23" i="19"/>
  <c r="F23" i="19"/>
  <c r="G23" i="19" s="1"/>
  <c r="E23" i="20"/>
  <c r="F23" i="20"/>
  <c r="G23" i="20" s="1"/>
  <c r="E23" i="21"/>
  <c r="F23" i="21"/>
  <c r="G23" i="21" s="1"/>
  <c r="E23" i="22"/>
  <c r="F23" i="22"/>
  <c r="G23" i="22" s="1"/>
  <c r="E23" i="23"/>
  <c r="F23" i="23"/>
  <c r="E23" i="24"/>
  <c r="F23" i="24"/>
  <c r="E23" i="25"/>
  <c r="F23" i="25"/>
  <c r="E23" i="26"/>
  <c r="F23" i="26"/>
  <c r="G23" i="26" s="1"/>
  <c r="E23" i="27"/>
  <c r="F23" i="27"/>
  <c r="E23" i="28"/>
  <c r="F23" i="28"/>
  <c r="E23" i="29"/>
  <c r="F23" i="29"/>
  <c r="E23" i="30"/>
  <c r="F23" i="30"/>
  <c r="G23" i="30" s="1"/>
  <c r="E23" i="31"/>
  <c r="F23" i="31"/>
  <c r="G23" i="31"/>
  <c r="E23" i="32"/>
  <c r="F23" i="32"/>
  <c r="G23" i="32" s="1"/>
  <c r="E23" i="33"/>
  <c r="F23" i="33"/>
  <c r="E23" i="34"/>
  <c r="F23" i="34"/>
  <c r="G23" i="34" s="1"/>
  <c r="E23" i="35"/>
  <c r="F23" i="35"/>
  <c r="E23" i="36"/>
  <c r="F23" i="36"/>
  <c r="G23" i="36" s="1"/>
  <c r="E23" i="37"/>
  <c r="F23" i="37"/>
  <c r="G23" i="37" s="1"/>
  <c r="K23" i="4"/>
  <c r="L23" i="4"/>
  <c r="G23" i="18" l="1"/>
  <c r="G23" i="17"/>
  <c r="G24" i="16"/>
  <c r="G23" i="25"/>
  <c r="G25" i="11"/>
  <c r="G24" i="24"/>
  <c r="G25" i="37"/>
  <c r="G25" i="23"/>
  <c r="G24" i="30"/>
  <c r="G25" i="19"/>
  <c r="G23" i="27"/>
  <c r="G25" i="22"/>
  <c r="G25" i="36"/>
  <c r="G25" i="32"/>
  <c r="G25" i="18"/>
  <c r="G25" i="31"/>
  <c r="G24" i="20"/>
  <c r="G25" i="9"/>
  <c r="G24" i="7"/>
  <c r="G25" i="6"/>
  <c r="G24" i="2"/>
  <c r="G23" i="2"/>
  <c r="G24" i="25"/>
  <c r="G23" i="28"/>
  <c r="G23" i="16"/>
  <c r="G25" i="24"/>
  <c r="G23" i="15"/>
  <c r="G25" i="17"/>
  <c r="G25" i="16"/>
  <c r="G23" i="13"/>
  <c r="G25" i="20"/>
  <c r="G25" i="34"/>
  <c r="G25" i="28"/>
  <c r="G25" i="14"/>
  <c r="G23" i="35"/>
  <c r="G23" i="24"/>
  <c r="G23" i="11"/>
  <c r="G25" i="27"/>
  <c r="G25" i="13"/>
  <c r="G24" i="14"/>
  <c r="G24" i="28"/>
  <c r="G24" i="17"/>
  <c r="G24" i="31"/>
  <c r="G25" i="29"/>
  <c r="G25" i="15"/>
  <c r="G25" i="26"/>
  <c r="G25" i="12"/>
  <c r="G24" i="26"/>
  <c r="G24" i="29"/>
  <c r="G24" i="32"/>
  <c r="G25" i="25"/>
  <c r="G24" i="21"/>
  <c r="G23" i="29"/>
  <c r="G24" i="13"/>
  <c r="G25" i="21"/>
  <c r="G24" i="15"/>
  <c r="G23" i="33"/>
  <c r="G23" i="23"/>
  <c r="G25" i="2"/>
  <c r="G24" i="9"/>
  <c r="G27" i="2"/>
  <c r="G25" i="7"/>
  <c r="G24" i="36"/>
  <c r="G24" i="35"/>
  <c r="G24" i="34"/>
  <c r="G24" i="33"/>
  <c r="G24" i="27"/>
  <c r="G24" i="23"/>
  <c r="G24" i="22"/>
  <c r="G24" i="19"/>
  <c r="G24" i="18"/>
  <c r="G24" i="12"/>
  <c r="G24" i="37"/>
  <c r="B23" i="9"/>
  <c r="C23" i="9"/>
  <c r="E23" i="9" s="1"/>
  <c r="D23" i="9"/>
  <c r="E23" i="6"/>
  <c r="F23" i="6"/>
  <c r="E23" i="7"/>
  <c r="F23" i="7"/>
  <c r="G23" i="7" l="1"/>
  <c r="G23" i="6"/>
  <c r="F23" i="9"/>
  <c r="G23" i="9" s="1"/>
  <c r="E23" i="8"/>
  <c r="F23" i="8"/>
  <c r="G23" i="8" s="1"/>
  <c r="E22" i="26"/>
  <c r="F22" i="26"/>
  <c r="E22" i="25"/>
  <c r="F22" i="25"/>
  <c r="G22" i="25" s="1"/>
  <c r="G22" i="26" l="1"/>
  <c r="E22" i="37"/>
  <c r="F22" i="37"/>
  <c r="G22" i="37" s="1"/>
  <c r="E22" i="36"/>
  <c r="F22" i="36"/>
  <c r="E22" i="35"/>
  <c r="F22" i="35"/>
  <c r="E22" i="34"/>
  <c r="F22" i="34"/>
  <c r="G22" i="34" s="1"/>
  <c r="E22" i="33"/>
  <c r="F22" i="33"/>
  <c r="E22" i="32"/>
  <c r="F22" i="32"/>
  <c r="E22" i="31"/>
  <c r="F22" i="31"/>
  <c r="E22" i="30"/>
  <c r="F22" i="30"/>
  <c r="E22" i="29"/>
  <c r="F22" i="29"/>
  <c r="E22" i="27"/>
  <c r="F22" i="27"/>
  <c r="E22" i="28"/>
  <c r="F22" i="28"/>
  <c r="E22" i="24"/>
  <c r="F22" i="24"/>
  <c r="G22" i="24" s="1"/>
  <c r="E22" i="23"/>
  <c r="F22" i="23"/>
  <c r="E22" i="22"/>
  <c r="F22" i="22"/>
  <c r="G22" i="22" s="1"/>
  <c r="E22" i="21"/>
  <c r="F22" i="21"/>
  <c r="E22" i="20"/>
  <c r="F22" i="20"/>
  <c r="E22" i="19"/>
  <c r="F22" i="19"/>
  <c r="E22" i="18"/>
  <c r="F22" i="18"/>
  <c r="E22" i="17"/>
  <c r="F22" i="17"/>
  <c r="E22" i="16"/>
  <c r="F22" i="16"/>
  <c r="G22" i="16" s="1"/>
  <c r="E22" i="15"/>
  <c r="F22" i="15"/>
  <c r="G22" i="15" s="1"/>
  <c r="E22" i="14"/>
  <c r="F22" i="14"/>
  <c r="G22" i="29" l="1"/>
  <c r="G22" i="27"/>
  <c r="G22" i="35"/>
  <c r="G22" i="30"/>
  <c r="G22" i="18"/>
  <c r="G22" i="20"/>
  <c r="G22" i="23"/>
  <c r="G22" i="33"/>
  <c r="G22" i="14"/>
  <c r="G22" i="17"/>
  <c r="G22" i="19"/>
  <c r="G22" i="21"/>
  <c r="G22" i="32"/>
  <c r="G22" i="36"/>
  <c r="G22" i="28"/>
  <c r="G22" i="31"/>
  <c r="E22" i="13" l="1"/>
  <c r="F22" i="13"/>
  <c r="E22" i="12"/>
  <c r="F22" i="12"/>
  <c r="E22" i="11"/>
  <c r="F22" i="11"/>
  <c r="G22" i="11" s="1"/>
  <c r="K22" i="4"/>
  <c r="L22" i="4"/>
  <c r="F22" i="2"/>
  <c r="G22" i="2" s="1"/>
  <c r="B22" i="9"/>
  <c r="C22" i="9"/>
  <c r="E22" i="9" s="1"/>
  <c r="D22" i="9"/>
  <c r="F22" i="9" s="1"/>
  <c r="G22" i="9" s="1"/>
  <c r="E22" i="6"/>
  <c r="F22" i="6"/>
  <c r="G22" i="6" s="1"/>
  <c r="E22" i="7"/>
  <c r="F22" i="7"/>
  <c r="G22" i="7" s="1"/>
  <c r="E22" i="8"/>
  <c r="F22" i="8"/>
  <c r="G22" i="8" s="1"/>
  <c r="K21" i="4"/>
  <c r="L21" i="4"/>
  <c r="G22" i="13" l="1"/>
  <c r="G22" i="12"/>
  <c r="E21" i="37"/>
  <c r="F21" i="37"/>
  <c r="E21" i="36"/>
  <c r="G21" i="36" s="1"/>
  <c r="F21" i="36"/>
  <c r="E21" i="35"/>
  <c r="F21" i="35"/>
  <c r="G21" i="35"/>
  <c r="E21" i="34"/>
  <c r="F21" i="34"/>
  <c r="E21" i="33"/>
  <c r="F21" i="33"/>
  <c r="E21" i="32"/>
  <c r="F21" i="32"/>
  <c r="G21" i="32" s="1"/>
  <c r="E21" i="31"/>
  <c r="F21" i="31"/>
  <c r="G21" i="31" s="1"/>
  <c r="E21" i="30"/>
  <c r="F21" i="30"/>
  <c r="E21" i="29"/>
  <c r="F21" i="29"/>
  <c r="E21" i="28"/>
  <c r="F21" i="28"/>
  <c r="G21" i="28" s="1"/>
  <c r="E21" i="27"/>
  <c r="F21" i="27"/>
  <c r="E21" i="26"/>
  <c r="F21" i="26"/>
  <c r="E21" i="25"/>
  <c r="F21" i="25"/>
  <c r="E21" i="24"/>
  <c r="F21" i="24"/>
  <c r="E21" i="23"/>
  <c r="F21" i="23"/>
  <c r="E21" i="22"/>
  <c r="F21" i="22"/>
  <c r="E21" i="21"/>
  <c r="F21" i="21"/>
  <c r="E21" i="20"/>
  <c r="F21" i="20"/>
  <c r="E21" i="19"/>
  <c r="F21" i="19"/>
  <c r="G21" i="19" s="1"/>
  <c r="E21" i="18"/>
  <c r="F21" i="18"/>
  <c r="G21" i="18" s="1"/>
  <c r="E21" i="17"/>
  <c r="F21" i="17"/>
  <c r="G21" i="17" s="1"/>
  <c r="E21" i="16"/>
  <c r="F21" i="16"/>
  <c r="E21" i="15"/>
  <c r="F21" i="15"/>
  <c r="E21" i="14"/>
  <c r="F21" i="14"/>
  <c r="G21" i="14" s="1"/>
  <c r="G21" i="23" l="1"/>
  <c r="G21" i="34"/>
  <c r="G21" i="29"/>
  <c r="G21" i="37"/>
  <c r="G21" i="16"/>
  <c r="G21" i="30"/>
  <c r="G21" i="25"/>
  <c r="G21" i="20"/>
  <c r="G21" i="27"/>
  <c r="G21" i="15"/>
  <c r="G21" i="22"/>
  <c r="G21" i="33"/>
  <c r="G21" i="24"/>
  <c r="G21" i="26"/>
  <c r="G21" i="21"/>
  <c r="E21" i="13"/>
  <c r="F21" i="13"/>
  <c r="E21" i="12"/>
  <c r="F21" i="12"/>
  <c r="G21" i="12" s="1"/>
  <c r="G21" i="13" l="1"/>
  <c r="E21" i="11"/>
  <c r="F21" i="11"/>
  <c r="G21" i="11" s="1"/>
  <c r="E21" i="2" l="1"/>
  <c r="F21" i="2"/>
  <c r="G21" i="2" s="1"/>
  <c r="B21" i="9"/>
  <c r="C21" i="9"/>
  <c r="D21" i="9"/>
  <c r="E21" i="6"/>
  <c r="F21" i="6"/>
  <c r="E21" i="7"/>
  <c r="F21" i="7"/>
  <c r="G21" i="7"/>
  <c r="E21" i="8"/>
  <c r="F21" i="8"/>
  <c r="E20" i="37"/>
  <c r="F20" i="37"/>
  <c r="E20" i="36"/>
  <c r="F20" i="36"/>
  <c r="E20" i="35"/>
  <c r="F20" i="35"/>
  <c r="E20" i="34"/>
  <c r="F20" i="34"/>
  <c r="E20" i="33"/>
  <c r="F20" i="33"/>
  <c r="E20" i="32"/>
  <c r="F20" i="32"/>
  <c r="E20" i="31"/>
  <c r="F20" i="31"/>
  <c r="G20" i="31" s="1"/>
  <c r="E20" i="30"/>
  <c r="F20" i="30"/>
  <c r="G20" i="30" s="1"/>
  <c r="E20" i="29"/>
  <c r="F20" i="29"/>
  <c r="G20" i="29" s="1"/>
  <c r="E20" i="28"/>
  <c r="F20" i="28"/>
  <c r="E20" i="27"/>
  <c r="F20" i="27"/>
  <c r="E20" i="26"/>
  <c r="F20" i="26"/>
  <c r="E20" i="25"/>
  <c r="F20" i="25"/>
  <c r="G20" i="25" s="1"/>
  <c r="E20" i="24"/>
  <c r="F20" i="24"/>
  <c r="G20" i="24" s="1"/>
  <c r="E20" i="23"/>
  <c r="F20" i="23"/>
  <c r="E20" i="22"/>
  <c r="F20" i="22"/>
  <c r="G20" i="22" s="1"/>
  <c r="E20" i="21"/>
  <c r="F20" i="21"/>
  <c r="E20" i="20"/>
  <c r="F20" i="20"/>
  <c r="E20" i="19"/>
  <c r="F20" i="19"/>
  <c r="E20" i="18"/>
  <c r="F20" i="18"/>
  <c r="E20" i="17"/>
  <c r="F20" i="17"/>
  <c r="E20" i="16"/>
  <c r="F20" i="16"/>
  <c r="E20" i="15"/>
  <c r="F20" i="15"/>
  <c r="G20" i="15" s="1"/>
  <c r="E20" i="14"/>
  <c r="F20" i="14"/>
  <c r="E20" i="13"/>
  <c r="F20" i="13"/>
  <c r="G20" i="13" s="1"/>
  <c r="E20" i="12"/>
  <c r="F20" i="12"/>
  <c r="E20" i="11"/>
  <c r="F20" i="11"/>
  <c r="K20" i="4"/>
  <c r="L20" i="4"/>
  <c r="G20" i="18" l="1"/>
  <c r="G21" i="6"/>
  <c r="G21" i="8"/>
  <c r="G20" i="20"/>
  <c r="G20" i="27"/>
  <c r="G20" i="14"/>
  <c r="G20" i="26"/>
  <c r="G20" i="34"/>
  <c r="G20" i="12"/>
  <c r="G20" i="21"/>
  <c r="G20" i="35"/>
  <c r="F21" i="9"/>
  <c r="E21" i="9"/>
  <c r="G20" i="32"/>
  <c r="G20" i="37"/>
  <c r="G20" i="17"/>
  <c r="G20" i="23"/>
  <c r="G20" i="16"/>
  <c r="G20" i="33"/>
  <c r="G20" i="11"/>
  <c r="G20" i="28"/>
  <c r="G20" i="19"/>
  <c r="G20" i="36"/>
  <c r="E20" i="2"/>
  <c r="F20" i="2"/>
  <c r="B20" i="9"/>
  <c r="C20" i="9"/>
  <c r="D20" i="9"/>
  <c r="F20" i="9" l="1"/>
  <c r="E20" i="9"/>
  <c r="G21" i="9"/>
  <c r="G20" i="2"/>
  <c r="E20" i="6"/>
  <c r="F20" i="6"/>
  <c r="G20" i="6"/>
  <c r="E20" i="7"/>
  <c r="F20" i="7"/>
  <c r="G20" i="7"/>
  <c r="G20" i="9" l="1"/>
  <c r="E20" i="8"/>
  <c r="F20" i="8"/>
  <c r="G20" i="8" s="1"/>
  <c r="E19" i="37" l="1"/>
  <c r="F19" i="37"/>
  <c r="E19" i="36"/>
  <c r="F19" i="36"/>
  <c r="E19" i="35"/>
  <c r="F19" i="35"/>
  <c r="E19" i="34"/>
  <c r="F19" i="34"/>
  <c r="E19" i="33"/>
  <c r="F19" i="33"/>
  <c r="E19" i="32"/>
  <c r="F19" i="32"/>
  <c r="E19" i="31"/>
  <c r="F19" i="31"/>
  <c r="G19" i="31" s="1"/>
  <c r="E19" i="30"/>
  <c r="F19" i="30"/>
  <c r="E19" i="28"/>
  <c r="F19" i="28"/>
  <c r="E19" i="29"/>
  <c r="F19" i="29"/>
  <c r="E19" i="27"/>
  <c r="F19" i="27"/>
  <c r="E19" i="26"/>
  <c r="F19" i="26"/>
  <c r="G19" i="26" s="1"/>
  <c r="E19" i="25"/>
  <c r="F19" i="25"/>
  <c r="E19" i="24"/>
  <c r="F19" i="24"/>
  <c r="E19" i="23"/>
  <c r="F19" i="23"/>
  <c r="E19" i="22"/>
  <c r="F19" i="22"/>
  <c r="G19" i="22" s="1"/>
  <c r="E19" i="21"/>
  <c r="F19" i="21"/>
  <c r="E19" i="20"/>
  <c r="F19" i="20"/>
  <c r="E19" i="19"/>
  <c r="F19" i="19"/>
  <c r="E19" i="18"/>
  <c r="F19" i="18"/>
  <c r="E19" i="17"/>
  <c r="F19" i="17"/>
  <c r="E19" i="16"/>
  <c r="F19" i="16"/>
  <c r="E19" i="15"/>
  <c r="F19" i="15"/>
  <c r="E19" i="14"/>
  <c r="F19" i="14"/>
  <c r="E19" i="13"/>
  <c r="F19" i="13"/>
  <c r="E19" i="12"/>
  <c r="F19" i="12"/>
  <c r="G19" i="12" s="1"/>
  <c r="E19" i="11"/>
  <c r="F19" i="11"/>
  <c r="G19" i="13" l="1"/>
  <c r="G19" i="19"/>
  <c r="G19" i="29"/>
  <c r="G19" i="25"/>
  <c r="G19" i="32"/>
  <c r="G19" i="27"/>
  <c r="G19" i="35"/>
  <c r="G19" i="28"/>
  <c r="G19" i="15"/>
  <c r="G19" i="18"/>
  <c r="G19" i="20"/>
  <c r="G19" i="36"/>
  <c r="G19" i="30"/>
  <c r="G19" i="37"/>
  <c r="G19" i="17"/>
  <c r="G19" i="24"/>
  <c r="G19" i="11"/>
  <c r="G19" i="33"/>
  <c r="G19" i="14"/>
  <c r="G19" i="21"/>
  <c r="G19" i="34"/>
  <c r="G19" i="16"/>
  <c r="G19" i="23"/>
  <c r="K19" i="4"/>
  <c r="L19" i="4"/>
  <c r="E19" i="2"/>
  <c r="F19" i="2"/>
  <c r="G19" i="2" s="1"/>
  <c r="B19" i="9"/>
  <c r="C19" i="9"/>
  <c r="E19" i="9" s="1"/>
  <c r="D19" i="9"/>
  <c r="F19" i="9" s="1"/>
  <c r="G19" i="9" s="1"/>
  <c r="E19" i="6"/>
  <c r="F19" i="6"/>
  <c r="G19" i="6"/>
  <c r="E19" i="7"/>
  <c r="F19" i="7"/>
  <c r="G19" i="7" s="1"/>
  <c r="E19" i="8"/>
  <c r="F19" i="8"/>
  <c r="G19" i="8" s="1"/>
  <c r="E18" i="37" l="1"/>
  <c r="F18" i="37"/>
  <c r="E18" i="36"/>
  <c r="F18" i="36"/>
  <c r="E18" i="35"/>
  <c r="F18" i="35"/>
  <c r="E18" i="34"/>
  <c r="F18" i="34"/>
  <c r="E18" i="33"/>
  <c r="F18" i="33"/>
  <c r="E18" i="32"/>
  <c r="F18" i="32"/>
  <c r="E18" i="31"/>
  <c r="F18" i="31"/>
  <c r="G18" i="31" s="1"/>
  <c r="E18" i="30"/>
  <c r="F18" i="30"/>
  <c r="E18" i="29"/>
  <c r="F18" i="29"/>
  <c r="E18" i="28"/>
  <c r="F18" i="28"/>
  <c r="E18" i="27"/>
  <c r="F18" i="27"/>
  <c r="E18" i="26"/>
  <c r="F18" i="26"/>
  <c r="E18" i="25"/>
  <c r="F18" i="25"/>
  <c r="G18" i="25" s="1"/>
  <c r="E18" i="24"/>
  <c r="F18" i="24"/>
  <c r="E18" i="23"/>
  <c r="F18" i="23"/>
  <c r="E18" i="22"/>
  <c r="F18" i="22"/>
  <c r="E18" i="21"/>
  <c r="F18" i="21"/>
  <c r="E18" i="20"/>
  <c r="F18" i="20"/>
  <c r="E18" i="19"/>
  <c r="F18" i="19"/>
  <c r="E18" i="18"/>
  <c r="F18" i="18"/>
  <c r="E18" i="17"/>
  <c r="F18" i="17"/>
  <c r="E18" i="16"/>
  <c r="F18" i="16"/>
  <c r="E18" i="15"/>
  <c r="F18" i="15"/>
  <c r="E18" i="14"/>
  <c r="F18" i="14"/>
  <c r="E18" i="13"/>
  <c r="F18" i="13"/>
  <c r="E18" i="12"/>
  <c r="F18" i="12"/>
  <c r="E18" i="11"/>
  <c r="F18" i="11"/>
  <c r="K18" i="4"/>
  <c r="L18" i="4"/>
  <c r="E18" i="2"/>
  <c r="F18" i="2"/>
  <c r="B18" i="9"/>
  <c r="C18" i="9"/>
  <c r="E18" i="9" s="1"/>
  <c r="D18" i="9"/>
  <c r="F18" i="9" s="1"/>
  <c r="G18" i="9" s="1"/>
  <c r="G18" i="6"/>
  <c r="E18" i="6"/>
  <c r="F18" i="6"/>
  <c r="E18" i="7"/>
  <c r="F18" i="7"/>
  <c r="G18" i="7" s="1"/>
  <c r="E18" i="8"/>
  <c r="F18" i="8"/>
  <c r="G18" i="8" s="1"/>
  <c r="E17" i="37"/>
  <c r="F17" i="37"/>
  <c r="E17" i="36"/>
  <c r="F17" i="36"/>
  <c r="E17" i="35"/>
  <c r="F17" i="35"/>
  <c r="E17" i="34"/>
  <c r="F17" i="34"/>
  <c r="E17" i="33"/>
  <c r="F17" i="33"/>
  <c r="E17" i="32"/>
  <c r="F17" i="32"/>
  <c r="E17" i="31"/>
  <c r="F17" i="31"/>
  <c r="E17" i="30"/>
  <c r="F17" i="30"/>
  <c r="E17" i="29"/>
  <c r="F17" i="29"/>
  <c r="E17" i="28"/>
  <c r="F17" i="28"/>
  <c r="E17" i="27"/>
  <c r="F17" i="27"/>
  <c r="E17" i="26"/>
  <c r="F17" i="26"/>
  <c r="E17" i="25"/>
  <c r="F17" i="25"/>
  <c r="E17" i="24"/>
  <c r="F17" i="24"/>
  <c r="E17" i="23"/>
  <c r="F17" i="23"/>
  <c r="E17" i="22"/>
  <c r="F17" i="22"/>
  <c r="E17" i="21"/>
  <c r="F17" i="21"/>
  <c r="E17" i="20"/>
  <c r="F17" i="20"/>
  <c r="G17" i="20" s="1"/>
  <c r="E17" i="19"/>
  <c r="F17" i="19"/>
  <c r="E17" i="18"/>
  <c r="F17" i="18"/>
  <c r="E17" i="17"/>
  <c r="F17" i="17"/>
  <c r="E17" i="16"/>
  <c r="F17" i="16"/>
  <c r="E17" i="15"/>
  <c r="F17" i="15"/>
  <c r="E17" i="14"/>
  <c r="F17" i="14"/>
  <c r="E17" i="13"/>
  <c r="F17" i="13"/>
  <c r="E17" i="12"/>
  <c r="F17" i="12"/>
  <c r="E17" i="11"/>
  <c r="F17" i="11"/>
  <c r="K17" i="4"/>
  <c r="L17" i="4"/>
  <c r="E17" i="2"/>
  <c r="F17" i="2"/>
  <c r="B17" i="9"/>
  <c r="C17" i="9"/>
  <c r="D17" i="9"/>
  <c r="E17" i="6"/>
  <c r="F17" i="6"/>
  <c r="G17" i="6" s="1"/>
  <c r="E17" i="7"/>
  <c r="F17" i="7"/>
  <c r="E17" i="8"/>
  <c r="F17" i="8"/>
  <c r="G17" i="8" s="1"/>
  <c r="K16" i="4"/>
  <c r="L16" i="4"/>
  <c r="E16" i="37"/>
  <c r="F16" i="37"/>
  <c r="G16" i="37" s="1"/>
  <c r="E16" i="36"/>
  <c r="F16" i="36"/>
  <c r="E16" i="35"/>
  <c r="F16" i="35"/>
  <c r="E16" i="34"/>
  <c r="F16" i="34"/>
  <c r="E16" i="33"/>
  <c r="F16" i="33"/>
  <c r="E16" i="32"/>
  <c r="F16" i="32"/>
  <c r="E16" i="31"/>
  <c r="F16" i="31"/>
  <c r="E16" i="30"/>
  <c r="F16" i="30"/>
  <c r="E16" i="29"/>
  <c r="F16" i="29"/>
  <c r="E16" i="28"/>
  <c r="F16" i="28"/>
  <c r="E16" i="27"/>
  <c r="F16" i="27"/>
  <c r="E16" i="26"/>
  <c r="F16" i="26"/>
  <c r="E16" i="25"/>
  <c r="F16" i="25"/>
  <c r="E16" i="24"/>
  <c r="F16" i="24"/>
  <c r="E16" i="23"/>
  <c r="F16" i="23"/>
  <c r="G16" i="23"/>
  <c r="E16" i="22"/>
  <c r="F16" i="22"/>
  <c r="E16" i="21"/>
  <c r="F16" i="21"/>
  <c r="E16" i="20"/>
  <c r="F16" i="20"/>
  <c r="G16" i="20" s="1"/>
  <c r="E16" i="19"/>
  <c r="F16" i="19"/>
  <c r="E16" i="18"/>
  <c r="F16" i="18"/>
  <c r="E16" i="17"/>
  <c r="F16" i="17"/>
  <c r="G16" i="17" s="1"/>
  <c r="E16" i="16"/>
  <c r="F16" i="16"/>
  <c r="G16" i="16" s="1"/>
  <c r="E16" i="15"/>
  <c r="F16" i="15"/>
  <c r="E16" i="14"/>
  <c r="F16" i="14"/>
  <c r="E16" i="13"/>
  <c r="F16" i="13"/>
  <c r="G16" i="13" s="1"/>
  <c r="E16" i="12"/>
  <c r="F16" i="12"/>
  <c r="E16" i="11"/>
  <c r="F16" i="11"/>
  <c r="E16" i="2"/>
  <c r="F16" i="2"/>
  <c r="G16" i="2" s="1"/>
  <c r="B16" i="9"/>
  <c r="F16" i="9" s="1"/>
  <c r="C16" i="9"/>
  <c r="E16" i="9" s="1"/>
  <c r="D16" i="9"/>
  <c r="E16" i="6"/>
  <c r="F16" i="6"/>
  <c r="E16" i="7"/>
  <c r="F16" i="7"/>
  <c r="G16" i="7" s="1"/>
  <c r="E16" i="8"/>
  <c r="F16" i="8"/>
  <c r="G16" i="8" s="1"/>
  <c r="G18" i="26" l="1"/>
  <c r="G16" i="33"/>
  <c r="G18" i="21"/>
  <c r="G18" i="28"/>
  <c r="G16" i="22"/>
  <c r="G16" i="29"/>
  <c r="G16" i="9"/>
  <c r="G16" i="6"/>
  <c r="G18" i="32"/>
  <c r="G16" i="25"/>
  <c r="G17" i="18"/>
  <c r="G16" i="28"/>
  <c r="G17" i="26"/>
  <c r="G17" i="33"/>
  <c r="G18" i="13"/>
  <c r="G18" i="20"/>
  <c r="G18" i="27"/>
  <c r="G18" i="35"/>
  <c r="G18" i="22"/>
  <c r="G17" i="36"/>
  <c r="G17" i="16"/>
  <c r="G17" i="37"/>
  <c r="G18" i="17"/>
  <c r="G17" i="2"/>
  <c r="E17" i="9"/>
  <c r="G17" i="12"/>
  <c r="G17" i="25"/>
  <c r="G17" i="32"/>
  <c r="G18" i="12"/>
  <c r="G18" i="19"/>
  <c r="G18" i="33"/>
  <c r="G17" i="14"/>
  <c r="G17" i="27"/>
  <c r="G17" i="34"/>
  <c r="G18" i="14"/>
  <c r="G18" i="23"/>
  <c r="G18" i="29"/>
  <c r="G18" i="36"/>
  <c r="G16" i="36"/>
  <c r="G16" i="18"/>
  <c r="G16" i="24"/>
  <c r="G18" i="24"/>
  <c r="G18" i="30"/>
  <c r="G18" i="37"/>
  <c r="G16" i="14"/>
  <c r="G16" i="21"/>
  <c r="G17" i="13"/>
  <c r="G17" i="19"/>
  <c r="G17" i="21"/>
  <c r="G17" i="28"/>
  <c r="G17" i="35"/>
  <c r="G18" i="15"/>
  <c r="G18" i="34"/>
  <c r="G17" i="22"/>
  <c r="G17" i="29"/>
  <c r="G17" i="15"/>
  <c r="G18" i="16"/>
  <c r="G16" i="27"/>
  <c r="G16" i="31"/>
  <c r="G17" i="17"/>
  <c r="G17" i="23"/>
  <c r="G17" i="30"/>
  <c r="G16" i="12"/>
  <c r="G17" i="11"/>
  <c r="G17" i="24"/>
  <c r="G17" i="31"/>
  <c r="G18" i="11"/>
  <c r="G18" i="18"/>
  <c r="G18" i="2"/>
  <c r="F17" i="9"/>
  <c r="G17" i="7"/>
  <c r="G16" i="34"/>
  <c r="G16" i="35"/>
  <c r="G16" i="32"/>
  <c r="G16" i="15"/>
  <c r="G16" i="19"/>
  <c r="G16" i="26"/>
  <c r="G16" i="11"/>
  <c r="G16" i="30"/>
  <c r="E15" i="37"/>
  <c r="F15" i="37"/>
  <c r="G15" i="37" s="1"/>
  <c r="E15" i="36"/>
  <c r="F15" i="36"/>
  <c r="E15" i="35"/>
  <c r="F15" i="35"/>
  <c r="E15" i="34"/>
  <c r="F15" i="34"/>
  <c r="E15" i="33"/>
  <c r="F15" i="33"/>
  <c r="E15" i="32"/>
  <c r="F15" i="32"/>
  <c r="E15" i="31"/>
  <c r="F15" i="31"/>
  <c r="E15" i="30"/>
  <c r="F15" i="30"/>
  <c r="E15" i="29"/>
  <c r="F15" i="29"/>
  <c r="G15" i="29" s="1"/>
  <c r="E15" i="28"/>
  <c r="F15" i="28"/>
  <c r="E15" i="27"/>
  <c r="F15" i="27"/>
  <c r="E15" i="26"/>
  <c r="F15" i="26"/>
  <c r="E15" i="25"/>
  <c r="F15" i="25"/>
  <c r="G15" i="25" s="1"/>
  <c r="E15" i="24"/>
  <c r="F15" i="24"/>
  <c r="E15" i="23"/>
  <c r="F15" i="23"/>
  <c r="E15" i="22"/>
  <c r="F15" i="22"/>
  <c r="E15" i="21"/>
  <c r="F15" i="21"/>
  <c r="E15" i="20"/>
  <c r="F15" i="20"/>
  <c r="E15" i="19"/>
  <c r="F15" i="19"/>
  <c r="E15" i="18"/>
  <c r="F15" i="18"/>
  <c r="G15" i="18" s="1"/>
  <c r="E15" i="17"/>
  <c r="F15" i="17"/>
  <c r="G15" i="17" s="1"/>
  <c r="E15" i="16"/>
  <c r="F15" i="16"/>
  <c r="E15" i="15"/>
  <c r="F15" i="15"/>
  <c r="E15" i="14"/>
  <c r="F15" i="14"/>
  <c r="E15" i="13"/>
  <c r="F15" i="13"/>
  <c r="E15" i="12"/>
  <c r="F15" i="12"/>
  <c r="E15" i="11"/>
  <c r="F15" i="11"/>
  <c r="G15" i="11" s="1"/>
  <c r="K15" i="4"/>
  <c r="L15" i="4"/>
  <c r="L14" i="4"/>
  <c r="K14" i="4"/>
  <c r="B15" i="9"/>
  <c r="C15" i="9"/>
  <c r="E15" i="9" s="1"/>
  <c r="D15" i="9"/>
  <c r="E15" i="6"/>
  <c r="F15" i="6"/>
  <c r="G15" i="6" s="1"/>
  <c r="E15" i="7"/>
  <c r="F15" i="7"/>
  <c r="E15" i="8"/>
  <c r="F15" i="8"/>
  <c r="G15" i="8"/>
  <c r="G15" i="35" l="1"/>
  <c r="G15" i="7"/>
  <c r="F15" i="9"/>
  <c r="G15" i="20"/>
  <c r="G15" i="27"/>
  <c r="G15" i="30"/>
  <c r="G15" i="28"/>
  <c r="G15" i="15"/>
  <c r="G15" i="22"/>
  <c r="G15" i="9"/>
  <c r="G17" i="9"/>
  <c r="G15" i="31"/>
  <c r="G15" i="12"/>
  <c r="G15" i="21"/>
  <c r="G15" i="16"/>
  <c r="G15" i="24"/>
  <c r="G15" i="36"/>
  <c r="G15" i="32"/>
  <c r="G15" i="19"/>
  <c r="G15" i="26"/>
  <c r="G15" i="13"/>
  <c r="G15" i="33"/>
  <c r="G15" i="23"/>
  <c r="G15" i="14"/>
  <c r="G15" i="34"/>
  <c r="E14" i="37"/>
  <c r="F14" i="37"/>
  <c r="E14" i="36"/>
  <c r="F14" i="36"/>
  <c r="E14" i="35"/>
  <c r="F14" i="35"/>
  <c r="E14" i="34"/>
  <c r="F14" i="34"/>
  <c r="E14" i="33"/>
  <c r="F14" i="33"/>
  <c r="E14" i="32"/>
  <c r="F14" i="32"/>
  <c r="E14" i="31"/>
  <c r="F14" i="31"/>
  <c r="G14" i="31" s="1"/>
  <c r="E14" i="30"/>
  <c r="F14" i="30"/>
  <c r="E14" i="29"/>
  <c r="F14" i="29"/>
  <c r="E14" i="28"/>
  <c r="F14" i="28"/>
  <c r="E14" i="27"/>
  <c r="F14" i="27"/>
  <c r="E14" i="26"/>
  <c r="F14" i="26"/>
  <c r="E14" i="25"/>
  <c r="F14" i="25"/>
  <c r="E14" i="24"/>
  <c r="F14" i="24"/>
  <c r="E14" i="23"/>
  <c r="F14" i="23"/>
  <c r="E14" i="22"/>
  <c r="F14" i="22"/>
  <c r="E14" i="21"/>
  <c r="F14" i="21"/>
  <c r="E14" i="20"/>
  <c r="F14" i="20"/>
  <c r="E14" i="19"/>
  <c r="F14" i="19"/>
  <c r="E14" i="18"/>
  <c r="F14" i="18"/>
  <c r="E14" i="17"/>
  <c r="F14" i="17"/>
  <c r="G14" i="17" s="1"/>
  <c r="E14" i="16"/>
  <c r="F14" i="16"/>
  <c r="E14" i="15"/>
  <c r="F14" i="15"/>
  <c r="E14" i="14"/>
  <c r="F14" i="14"/>
  <c r="G14" i="14" s="1"/>
  <c r="E14" i="13"/>
  <c r="F14" i="13"/>
  <c r="G14" i="23" l="1"/>
  <c r="G14" i="37"/>
  <c r="G14" i="21"/>
  <c r="G14" i="35"/>
  <c r="G14" i="19"/>
  <c r="G14" i="26"/>
  <c r="G14" i="33"/>
  <c r="G14" i="36"/>
  <c r="G14" i="24"/>
  <c r="G14" i="20"/>
  <c r="G14" i="27"/>
  <c r="G14" i="34"/>
  <c r="G14" i="18"/>
  <c r="G14" i="25"/>
  <c r="G14" i="32"/>
  <c r="G14" i="30"/>
  <c r="G14" i="13"/>
  <c r="G14" i="15"/>
  <c r="G14" i="22"/>
  <c r="G14" i="28"/>
  <c r="G14" i="16"/>
  <c r="G14" i="29"/>
  <c r="E14" i="12"/>
  <c r="F14" i="12"/>
  <c r="E14" i="11"/>
  <c r="F14" i="11"/>
  <c r="B14" i="9"/>
  <c r="C14" i="9"/>
  <c r="E14" i="9" s="1"/>
  <c r="D14" i="9"/>
  <c r="E14" i="8"/>
  <c r="F14" i="8"/>
  <c r="E14" i="7"/>
  <c r="F14" i="7"/>
  <c r="G14" i="7" s="1"/>
  <c r="G14" i="11" l="1"/>
  <c r="G14" i="8"/>
  <c r="F14" i="9"/>
  <c r="G14" i="9" s="1"/>
  <c r="G14" i="12"/>
  <c r="E14" i="6"/>
  <c r="F14" i="6"/>
  <c r="K13" i="4"/>
  <c r="L13" i="4"/>
  <c r="E13" i="37"/>
  <c r="F13" i="37"/>
  <c r="E13" i="36"/>
  <c r="F13" i="36"/>
  <c r="E13" i="35"/>
  <c r="F13" i="35"/>
  <c r="E13" i="34"/>
  <c r="F13" i="34"/>
  <c r="G13" i="34" s="1"/>
  <c r="E13" i="33"/>
  <c r="F13" i="33"/>
  <c r="E13" i="32"/>
  <c r="F13" i="32"/>
  <c r="E13" i="31"/>
  <c r="F13" i="31"/>
  <c r="E13" i="30"/>
  <c r="F13" i="30"/>
  <c r="E13" i="29"/>
  <c r="F13" i="29"/>
  <c r="G13" i="29" s="1"/>
  <c r="E13" i="28"/>
  <c r="F13" i="28"/>
  <c r="E13" i="27"/>
  <c r="F13" i="27"/>
  <c r="E13" i="26"/>
  <c r="F13" i="26"/>
  <c r="E13" i="25"/>
  <c r="F13" i="25"/>
  <c r="G13" i="25" s="1"/>
  <c r="E13" i="24"/>
  <c r="F13" i="24"/>
  <c r="E13" i="23"/>
  <c r="F13" i="23"/>
  <c r="E13" i="22"/>
  <c r="F13" i="22"/>
  <c r="G13" i="22" s="1"/>
  <c r="E13" i="21"/>
  <c r="F13" i="21"/>
  <c r="G13" i="21" s="1"/>
  <c r="E13" i="20"/>
  <c r="F13" i="20"/>
  <c r="E13" i="19"/>
  <c r="F13" i="19"/>
  <c r="E13" i="18"/>
  <c r="F13" i="18"/>
  <c r="E13" i="17"/>
  <c r="F13" i="17"/>
  <c r="E13" i="16"/>
  <c r="F13" i="16"/>
  <c r="G13" i="16" s="1"/>
  <c r="E13" i="15"/>
  <c r="F13" i="15"/>
  <c r="E13" i="14"/>
  <c r="F13" i="14"/>
  <c r="E13" i="13"/>
  <c r="F13" i="13"/>
  <c r="E13" i="12"/>
  <c r="F13" i="12"/>
  <c r="E13" i="11"/>
  <c r="F13" i="11"/>
  <c r="G13" i="28" l="1"/>
  <c r="G13" i="33"/>
  <c r="G13" i="15"/>
  <c r="G13" i="23"/>
  <c r="G13" i="30"/>
  <c r="G13" i="37"/>
  <c r="G13" i="17"/>
  <c r="G13" i="11"/>
  <c r="G13" i="18"/>
  <c r="G13" i="35"/>
  <c r="G13" i="32"/>
  <c r="G13" i="13"/>
  <c r="G13" i="14"/>
  <c r="G13" i="20"/>
  <c r="G13" i="27"/>
  <c r="G13" i="36"/>
  <c r="G13" i="24"/>
  <c r="G13" i="12"/>
  <c r="G13" i="31"/>
  <c r="G13" i="19"/>
  <c r="G13" i="26"/>
  <c r="G14" i="6"/>
  <c r="B13" i="9" l="1"/>
  <c r="C13" i="9"/>
  <c r="D13" i="9"/>
  <c r="E13" i="6"/>
  <c r="F13" i="6"/>
  <c r="G13" i="6" s="1"/>
  <c r="E13" i="7"/>
  <c r="F13" i="7"/>
  <c r="G13" i="7" s="1"/>
  <c r="E13" i="8"/>
  <c r="F13" i="8"/>
  <c r="G13" i="8" s="1"/>
  <c r="F13" i="9" l="1"/>
  <c r="E13" i="9"/>
  <c r="E12" i="37"/>
  <c r="F12" i="37"/>
  <c r="E12" i="36"/>
  <c r="F12" i="36"/>
  <c r="E12" i="35"/>
  <c r="F12" i="35"/>
  <c r="G12" i="35" s="1"/>
  <c r="E12" i="34"/>
  <c r="F12" i="34"/>
  <c r="E12" i="33"/>
  <c r="F12" i="33"/>
  <c r="E12" i="32"/>
  <c r="F12" i="32"/>
  <c r="E12" i="31"/>
  <c r="F12" i="31"/>
  <c r="E12" i="30"/>
  <c r="F12" i="30"/>
  <c r="E12" i="29"/>
  <c r="F12" i="29"/>
  <c r="E12" i="28"/>
  <c r="F12" i="28"/>
  <c r="G12" i="28" s="1"/>
  <c r="E12" i="27"/>
  <c r="F12" i="27"/>
  <c r="E12" i="26"/>
  <c r="F12" i="26"/>
  <c r="E12" i="22"/>
  <c r="F12" i="22"/>
  <c r="E12" i="23"/>
  <c r="F12" i="23"/>
  <c r="E12" i="24"/>
  <c r="F12" i="24"/>
  <c r="E12" i="25"/>
  <c r="F12" i="25"/>
  <c r="E12" i="21"/>
  <c r="F12" i="21"/>
  <c r="G12" i="21" s="1"/>
  <c r="E12" i="20"/>
  <c r="F12" i="20"/>
  <c r="E12" i="19"/>
  <c r="F12" i="19"/>
  <c r="E12" i="17"/>
  <c r="F12" i="17"/>
  <c r="E12" i="18"/>
  <c r="F12" i="18"/>
  <c r="E12" i="16"/>
  <c r="F12" i="16"/>
  <c r="E12" i="15"/>
  <c r="F12" i="15"/>
  <c r="E12" i="14"/>
  <c r="F12" i="14"/>
  <c r="G12" i="14" s="1"/>
  <c r="E12" i="12"/>
  <c r="F12" i="12"/>
  <c r="G12" i="12" s="1"/>
  <c r="E12" i="13"/>
  <c r="F12" i="13"/>
  <c r="G12" i="13" s="1"/>
  <c r="E12" i="11"/>
  <c r="F12" i="11"/>
  <c r="K12" i="4"/>
  <c r="L12" i="4"/>
  <c r="E12" i="7"/>
  <c r="F12" i="7"/>
  <c r="G12" i="7" s="1"/>
  <c r="L11" i="4"/>
  <c r="K11" i="4"/>
  <c r="G12" i="34" l="1"/>
  <c r="G13" i="9"/>
  <c r="G12" i="26"/>
  <c r="G12" i="33"/>
  <c r="G12" i="20"/>
  <c r="G12" i="15"/>
  <c r="G12" i="31"/>
  <c r="G12" i="27"/>
  <c r="G12" i="17"/>
  <c r="G12" i="19"/>
  <c r="G12" i="11"/>
  <c r="G12" i="22"/>
  <c r="G12" i="18"/>
  <c r="G12" i="32"/>
  <c r="G12" i="25"/>
  <c r="G12" i="16"/>
  <c r="G12" i="29"/>
  <c r="G12" i="36"/>
  <c r="G12" i="24"/>
  <c r="G12" i="30"/>
  <c r="G12" i="37"/>
  <c r="G12" i="23"/>
  <c r="B12" i="9"/>
  <c r="C12" i="9"/>
  <c r="E12" i="9" s="1"/>
  <c r="D12" i="9"/>
  <c r="F12" i="9"/>
  <c r="G12" i="9" s="1"/>
  <c r="E12" i="6"/>
  <c r="F12" i="6"/>
  <c r="G12" i="6" s="1"/>
  <c r="E12" i="8"/>
  <c r="G12" i="8" s="1"/>
  <c r="F12" i="8"/>
  <c r="E11" i="37"/>
  <c r="F11" i="37"/>
  <c r="E11" i="36"/>
  <c r="F11" i="36"/>
  <c r="E11" i="35"/>
  <c r="F11" i="35"/>
  <c r="E11" i="34"/>
  <c r="F11" i="34"/>
  <c r="E11" i="33"/>
  <c r="F11" i="33"/>
  <c r="E11" i="32"/>
  <c r="F11" i="32"/>
  <c r="E11" i="31"/>
  <c r="F11" i="31"/>
  <c r="E11" i="30"/>
  <c r="F11" i="30"/>
  <c r="E11" i="29"/>
  <c r="F11" i="29"/>
  <c r="E11" i="28"/>
  <c r="F11" i="28"/>
  <c r="E11" i="27"/>
  <c r="F11" i="27"/>
  <c r="E11" i="26"/>
  <c r="F11" i="26"/>
  <c r="E11" i="25"/>
  <c r="F11" i="25"/>
  <c r="E11" i="24"/>
  <c r="F11" i="24"/>
  <c r="E11" i="23"/>
  <c r="F11" i="23"/>
  <c r="G11" i="23" s="1"/>
  <c r="E11" i="22"/>
  <c r="F11" i="22"/>
  <c r="E11" i="21"/>
  <c r="F11" i="21"/>
  <c r="E11" i="20"/>
  <c r="F11" i="20"/>
  <c r="E11" i="19"/>
  <c r="F11" i="19"/>
  <c r="E11" i="18"/>
  <c r="F11" i="18"/>
  <c r="E11" i="17"/>
  <c r="F11" i="17"/>
  <c r="E11" i="16"/>
  <c r="F11" i="16"/>
  <c r="G11" i="16" s="1"/>
  <c r="E11" i="15"/>
  <c r="F11" i="15"/>
  <c r="E11" i="14"/>
  <c r="F11" i="14"/>
  <c r="E11" i="13"/>
  <c r="F11" i="13"/>
  <c r="G11" i="13" s="1"/>
  <c r="E11" i="12"/>
  <c r="F11" i="12"/>
  <c r="E11" i="11"/>
  <c r="F11" i="11"/>
  <c r="G11" i="11" s="1"/>
  <c r="G11" i="32" l="1"/>
  <c r="G11" i="33"/>
  <c r="G11" i="19"/>
  <c r="G11" i="24"/>
  <c r="G11" i="34"/>
  <c r="G11" i="15"/>
  <c r="G11" i="29"/>
  <c r="G11" i="18"/>
  <c r="G11" i="31"/>
  <c r="G11" i="12"/>
  <c r="G11" i="14"/>
  <c r="G11" i="35"/>
  <c r="G11" i="21"/>
  <c r="G11" i="28"/>
  <c r="G11" i="22"/>
  <c r="G11" i="17"/>
  <c r="G11" i="30"/>
  <c r="G11" i="37"/>
  <c r="G11" i="25"/>
  <c r="G11" i="26"/>
  <c r="G11" i="20"/>
  <c r="G11" i="27"/>
  <c r="G11" i="36"/>
  <c r="B11" i="9"/>
  <c r="C11" i="9"/>
  <c r="E11" i="9" s="1"/>
  <c r="D11" i="9"/>
  <c r="F11" i="9" s="1"/>
  <c r="G11" i="9" s="1"/>
  <c r="E11" i="6"/>
  <c r="F11" i="6"/>
  <c r="G11" i="6" s="1"/>
  <c r="E11" i="7"/>
  <c r="F11" i="7"/>
  <c r="E11" i="8"/>
  <c r="F11" i="8"/>
  <c r="G11" i="8" s="1"/>
  <c r="G11" i="7" l="1"/>
  <c r="E10" i="37"/>
  <c r="F10" i="37"/>
  <c r="E10" i="36"/>
  <c r="F10" i="36"/>
  <c r="E10" i="35"/>
  <c r="F10" i="35"/>
  <c r="E10" i="34"/>
  <c r="F10" i="34"/>
  <c r="E10" i="33"/>
  <c r="F10" i="33"/>
  <c r="E10" i="32"/>
  <c r="F10" i="32"/>
  <c r="E10" i="31"/>
  <c r="F10" i="31"/>
  <c r="E10" i="30"/>
  <c r="F10" i="30"/>
  <c r="E10" i="29"/>
  <c r="F10" i="29"/>
  <c r="E10" i="28"/>
  <c r="F10" i="28"/>
  <c r="E10" i="27"/>
  <c r="F10" i="27"/>
  <c r="G10" i="27" s="1"/>
  <c r="E10" i="26"/>
  <c r="F10" i="26"/>
  <c r="E10" i="25"/>
  <c r="F10" i="25"/>
  <c r="E10" i="24"/>
  <c r="F10" i="24"/>
  <c r="E10" i="23"/>
  <c r="F10" i="23"/>
  <c r="G10" i="23"/>
  <c r="E10" i="22"/>
  <c r="F10" i="22"/>
  <c r="E10" i="21"/>
  <c r="F10" i="21"/>
  <c r="G10" i="21" s="1"/>
  <c r="E10" i="20"/>
  <c r="F10" i="20"/>
  <c r="G10" i="20"/>
  <c r="E10" i="19"/>
  <c r="F10" i="19"/>
  <c r="E10" i="18"/>
  <c r="F10" i="18"/>
  <c r="E10" i="17"/>
  <c r="F10" i="17"/>
  <c r="E10" i="16"/>
  <c r="F10" i="16"/>
  <c r="E10" i="15"/>
  <c r="F10" i="15"/>
  <c r="E10" i="14"/>
  <c r="G10" i="14" s="1"/>
  <c r="F10" i="14"/>
  <c r="E10" i="13"/>
  <c r="F10" i="13"/>
  <c r="G10" i="13" s="1"/>
  <c r="E10" i="12"/>
  <c r="F10" i="12"/>
  <c r="G10" i="12" s="1"/>
  <c r="E10" i="11"/>
  <c r="F10" i="11"/>
  <c r="G10" i="28" l="1"/>
  <c r="G10" i="18"/>
  <c r="G10" i="31"/>
  <c r="G10" i="25"/>
  <c r="G10" i="26"/>
  <c r="G10" i="35"/>
  <c r="G10" i="15"/>
  <c r="G10" i="24"/>
  <c r="G10" i="33"/>
  <c r="G10" i="32"/>
  <c r="G10" i="16"/>
  <c r="G10" i="17"/>
  <c r="G10" i="37"/>
  <c r="G10" i="34"/>
  <c r="G10" i="19"/>
  <c r="G10" i="22"/>
  <c r="G10" i="29"/>
  <c r="G10" i="36"/>
  <c r="G10" i="11"/>
  <c r="G10" i="30"/>
  <c r="K10" i="4"/>
  <c r="L10" i="4"/>
  <c r="B10" i="9"/>
  <c r="C10" i="9"/>
  <c r="D10" i="9"/>
  <c r="E10" i="6"/>
  <c r="F10" i="6"/>
  <c r="G10" i="6"/>
  <c r="E10" i="7"/>
  <c r="F10" i="7"/>
  <c r="G10" i="7" s="1"/>
  <c r="E10" i="8"/>
  <c r="F10" i="8"/>
  <c r="G10" i="8" s="1"/>
  <c r="E10" i="9" l="1"/>
  <c r="F10" i="9"/>
  <c r="G10" i="9" l="1"/>
  <c r="E9" i="37"/>
  <c r="F9" i="37"/>
  <c r="E9" i="36"/>
  <c r="F9" i="36"/>
  <c r="E9" i="35"/>
  <c r="F9" i="35"/>
  <c r="E9" i="34"/>
  <c r="F9" i="34"/>
  <c r="E9" i="33"/>
  <c r="F9" i="33"/>
  <c r="G9" i="33" s="1"/>
  <c r="E9" i="32"/>
  <c r="F9" i="32"/>
  <c r="G9" i="32" s="1"/>
  <c r="E9" i="31"/>
  <c r="F9" i="31"/>
  <c r="E9" i="30"/>
  <c r="F9" i="30"/>
  <c r="E9" i="29"/>
  <c r="F9" i="29"/>
  <c r="E9" i="28"/>
  <c r="F9" i="28"/>
  <c r="G9" i="28" s="1"/>
  <c r="E9" i="27"/>
  <c r="F9" i="27"/>
  <c r="E9" i="26"/>
  <c r="F9" i="26"/>
  <c r="G9" i="26" s="1"/>
  <c r="E9" i="25"/>
  <c r="F9" i="25"/>
  <c r="E9" i="24"/>
  <c r="F9" i="24"/>
  <c r="E9" i="23"/>
  <c r="F9" i="23"/>
  <c r="E9" i="22"/>
  <c r="F9" i="22"/>
  <c r="E9" i="21"/>
  <c r="F9" i="21"/>
  <c r="G9" i="21" s="1"/>
  <c r="E9" i="20"/>
  <c r="F9" i="20"/>
  <c r="E9" i="19"/>
  <c r="F9" i="19"/>
  <c r="G9" i="19" s="1"/>
  <c r="E9" i="18"/>
  <c r="F9" i="18"/>
  <c r="E9" i="17"/>
  <c r="F9" i="17"/>
  <c r="E9" i="16"/>
  <c r="F9" i="16"/>
  <c r="E9" i="15"/>
  <c r="F9" i="15"/>
  <c r="E9" i="14"/>
  <c r="F9" i="14"/>
  <c r="G9" i="14" s="1"/>
  <c r="E9" i="13"/>
  <c r="F9" i="13"/>
  <c r="E9" i="12"/>
  <c r="F9" i="12"/>
  <c r="E9" i="11"/>
  <c r="F9" i="11"/>
  <c r="K9" i="4"/>
  <c r="L9" i="4"/>
  <c r="B9" i="9"/>
  <c r="C9" i="9"/>
  <c r="E9" i="9" s="1"/>
  <c r="D9" i="9"/>
  <c r="F9" i="9" s="1"/>
  <c r="E9" i="6"/>
  <c r="F9" i="6"/>
  <c r="G9" i="6" s="1"/>
  <c r="E9" i="7"/>
  <c r="F9" i="7"/>
  <c r="G9" i="7" s="1"/>
  <c r="E9" i="8"/>
  <c r="F9" i="8"/>
  <c r="G9" i="8"/>
  <c r="G9" i="13" l="1"/>
  <c r="G9" i="27"/>
  <c r="G9" i="34"/>
  <c r="G9" i="35"/>
  <c r="G9" i="17"/>
  <c r="G9" i="20"/>
  <c r="G9" i="15"/>
  <c r="G9" i="31"/>
  <c r="G9" i="25"/>
  <c r="G9" i="36"/>
  <c r="G9" i="22"/>
  <c r="G9" i="23"/>
  <c r="G9" i="30"/>
  <c r="G9" i="37"/>
  <c r="G9" i="16"/>
  <c r="G9" i="29"/>
  <c r="G9" i="12"/>
  <c r="G9" i="11"/>
  <c r="G9" i="18"/>
  <c r="G9" i="24"/>
  <c r="G9" i="9"/>
  <c r="E8" i="37"/>
  <c r="F8" i="37"/>
  <c r="E8" i="36"/>
  <c r="F8" i="36"/>
  <c r="E8" i="35"/>
  <c r="F8" i="35"/>
  <c r="E8" i="34"/>
  <c r="F8" i="34"/>
  <c r="E8" i="33"/>
  <c r="F8" i="33"/>
  <c r="E8" i="32"/>
  <c r="F8" i="32"/>
  <c r="E8" i="31"/>
  <c r="F8" i="31"/>
  <c r="E8" i="30"/>
  <c r="F8" i="30"/>
  <c r="E8" i="29"/>
  <c r="F8" i="29"/>
  <c r="E8" i="28"/>
  <c r="F8" i="28"/>
  <c r="E8" i="27"/>
  <c r="F8" i="27"/>
  <c r="E8" i="26"/>
  <c r="F8" i="26"/>
  <c r="E8" i="25"/>
  <c r="F8" i="25"/>
  <c r="E8" i="24"/>
  <c r="F8" i="24"/>
  <c r="G8" i="24" s="1"/>
  <c r="E8" i="23"/>
  <c r="F8" i="23"/>
  <c r="E8" i="22"/>
  <c r="F8" i="22"/>
  <c r="E8" i="21"/>
  <c r="F8" i="21"/>
  <c r="E8" i="20"/>
  <c r="F8" i="20"/>
  <c r="E8" i="19"/>
  <c r="F8" i="19"/>
  <c r="E8" i="18"/>
  <c r="F8" i="18"/>
  <c r="G8" i="18" s="1"/>
  <c r="E8" i="17"/>
  <c r="F8" i="17"/>
  <c r="G8" i="17"/>
  <c r="E8" i="16"/>
  <c r="F8" i="16"/>
  <c r="E8" i="15"/>
  <c r="F8" i="15"/>
  <c r="G8" i="15" s="1"/>
  <c r="E8" i="14"/>
  <c r="F8" i="14"/>
  <c r="E8" i="13"/>
  <c r="F8" i="13"/>
  <c r="E8" i="12"/>
  <c r="F8" i="12"/>
  <c r="E8" i="11"/>
  <c r="F8" i="11"/>
  <c r="G8" i="34" l="1"/>
  <c r="G8" i="32"/>
  <c r="G8" i="19"/>
  <c r="G8" i="26"/>
  <c r="G8" i="27"/>
  <c r="G8" i="37"/>
  <c r="G8" i="33"/>
  <c r="G8" i="29"/>
  <c r="G8" i="13"/>
  <c r="G8" i="36"/>
  <c r="G8" i="31"/>
  <c r="G8" i="21"/>
  <c r="G8" i="22"/>
  <c r="G8" i="23"/>
  <c r="G8" i="12"/>
  <c r="G8" i="25"/>
  <c r="G8" i="35"/>
  <c r="G8" i="30"/>
  <c r="G8" i="14"/>
  <c r="G8" i="20"/>
  <c r="G8" i="16"/>
  <c r="G8" i="28"/>
  <c r="G8" i="11"/>
  <c r="K8" i="4"/>
  <c r="L8" i="4"/>
  <c r="B8" i="9"/>
  <c r="C8" i="9"/>
  <c r="E8" i="9" s="1"/>
  <c r="D8" i="9"/>
  <c r="F8" i="9" s="1"/>
  <c r="E8" i="6"/>
  <c r="G8" i="6" s="1"/>
  <c r="F8" i="6"/>
  <c r="G8" i="9" l="1"/>
  <c r="E8" i="7"/>
  <c r="F8" i="7"/>
  <c r="G8" i="7" s="1"/>
  <c r="E8" i="8"/>
  <c r="F8" i="8"/>
  <c r="G8" i="8" s="1"/>
  <c r="E7" i="37"/>
  <c r="F7" i="37"/>
  <c r="G7" i="37" s="1"/>
  <c r="E7" i="36"/>
  <c r="F7" i="36"/>
  <c r="E7" i="35"/>
  <c r="F7" i="35"/>
  <c r="E7" i="34"/>
  <c r="F7" i="34"/>
  <c r="G7" i="34" s="1"/>
  <c r="E7" i="33"/>
  <c r="F7" i="33"/>
  <c r="E7" i="32"/>
  <c r="F7" i="32"/>
  <c r="E7" i="31"/>
  <c r="F7" i="31"/>
  <c r="E7" i="30"/>
  <c r="F7" i="30"/>
  <c r="E7" i="29"/>
  <c r="F7" i="29"/>
  <c r="G7" i="29" s="1"/>
  <c r="E7" i="28"/>
  <c r="F7" i="28"/>
  <c r="G7" i="28" s="1"/>
  <c r="E7" i="27"/>
  <c r="F7" i="27"/>
  <c r="E7" i="26"/>
  <c r="F7" i="26"/>
  <c r="E7" i="25"/>
  <c r="F7" i="25"/>
  <c r="G7" i="25" s="1"/>
  <c r="E7" i="24"/>
  <c r="F7" i="24"/>
  <c r="E7" i="23"/>
  <c r="F7" i="23"/>
  <c r="E7" i="22"/>
  <c r="F7" i="22"/>
  <c r="E7" i="21"/>
  <c r="F7" i="21"/>
  <c r="G7" i="21" s="1"/>
  <c r="E7" i="20"/>
  <c r="F7" i="20"/>
  <c r="E7" i="19"/>
  <c r="F7" i="19"/>
  <c r="E7" i="18"/>
  <c r="F7" i="18"/>
  <c r="G7" i="18" s="1"/>
  <c r="E7" i="17"/>
  <c r="F7" i="17"/>
  <c r="G7" i="17"/>
  <c r="E7" i="16"/>
  <c r="F7" i="16"/>
  <c r="G7" i="16" s="1"/>
  <c r="G7" i="30" l="1"/>
  <c r="G7" i="26"/>
  <c r="G7" i="33"/>
  <c r="G7" i="27"/>
  <c r="G7" i="24"/>
  <c r="G7" i="22"/>
  <c r="G7" i="31"/>
  <c r="G7" i="20"/>
  <c r="G7" i="35"/>
  <c r="G7" i="19"/>
  <c r="G7" i="32"/>
  <c r="G7" i="23"/>
  <c r="G7" i="36"/>
  <c r="E7" i="15"/>
  <c r="F7" i="15"/>
  <c r="E7" i="14"/>
  <c r="F7" i="14"/>
  <c r="E7" i="13"/>
  <c r="F7" i="13"/>
  <c r="G7" i="13" s="1"/>
  <c r="E7" i="12"/>
  <c r="F7" i="12"/>
  <c r="G7" i="12" s="1"/>
  <c r="E7" i="11"/>
  <c r="F7" i="11"/>
  <c r="G7" i="14" l="1"/>
  <c r="G7" i="15"/>
  <c r="G7" i="11"/>
  <c r="K7" i="4"/>
  <c r="L7" i="4"/>
  <c r="B7" i="9"/>
  <c r="C7" i="9"/>
  <c r="D7" i="9"/>
  <c r="F7" i="9" s="1"/>
  <c r="E7" i="6"/>
  <c r="F7" i="6"/>
  <c r="G7" i="6" s="1"/>
  <c r="E7" i="7"/>
  <c r="G7" i="7" s="1"/>
  <c r="F7" i="7"/>
  <c r="E7" i="8"/>
  <c r="F7" i="8"/>
  <c r="G7" i="8" s="1"/>
  <c r="E6" i="37"/>
  <c r="F6" i="37"/>
  <c r="E6" i="36"/>
  <c r="F6" i="36"/>
  <c r="E6" i="35"/>
  <c r="F6" i="35"/>
  <c r="E6" i="34"/>
  <c r="F6" i="34"/>
  <c r="G6" i="34" s="1"/>
  <c r="E6" i="33"/>
  <c r="F6" i="33"/>
  <c r="E6" i="32"/>
  <c r="F6" i="32"/>
  <c r="E6" i="31"/>
  <c r="F6" i="31"/>
  <c r="E6" i="30"/>
  <c r="F6" i="30"/>
  <c r="E6" i="29"/>
  <c r="F6" i="29"/>
  <c r="E6" i="28"/>
  <c r="F6" i="28"/>
  <c r="E6" i="27"/>
  <c r="F6" i="27"/>
  <c r="G6" i="27" s="1"/>
  <c r="E6" i="26"/>
  <c r="F6" i="26"/>
  <c r="E6" i="25"/>
  <c r="F6" i="25"/>
  <c r="E6" i="24"/>
  <c r="F6" i="24"/>
  <c r="E6" i="23"/>
  <c r="F6" i="23"/>
  <c r="E6" i="22"/>
  <c r="F6" i="22"/>
  <c r="E6" i="21"/>
  <c r="F6" i="21"/>
  <c r="G6" i="21" s="1"/>
  <c r="E6" i="20"/>
  <c r="F6" i="20"/>
  <c r="E6" i="19"/>
  <c r="F6" i="19"/>
  <c r="G6" i="19" s="1"/>
  <c r="E6" i="18"/>
  <c r="F6" i="18"/>
  <c r="E6" i="17"/>
  <c r="F6" i="17"/>
  <c r="E6" i="16"/>
  <c r="F6" i="16"/>
  <c r="E6" i="15"/>
  <c r="F6" i="15"/>
  <c r="E6" i="14"/>
  <c r="F6" i="14"/>
  <c r="G6" i="14" s="1"/>
  <c r="E6" i="13"/>
  <c r="F6" i="13"/>
  <c r="E6" i="12"/>
  <c r="F6" i="12"/>
  <c r="G6" i="12" s="1"/>
  <c r="E6" i="11"/>
  <c r="F6" i="11"/>
  <c r="G6" i="31" l="1"/>
  <c r="G6" i="13"/>
  <c r="G6" i="25"/>
  <c r="G6" i="32"/>
  <c r="G6" i="16"/>
  <c r="G6" i="23"/>
  <c r="G6" i="18"/>
  <c r="G6" i="11"/>
  <c r="G6" i="15"/>
  <c r="G6" i="26"/>
  <c r="G6" i="17"/>
  <c r="G6" i="24"/>
  <c r="G6" i="33"/>
  <c r="G6" i="20"/>
  <c r="G6" i="28"/>
  <c r="G6" i="35"/>
  <c r="G6" i="22"/>
  <c r="G6" i="29"/>
  <c r="G6" i="30"/>
  <c r="G6" i="37"/>
  <c r="G6" i="36"/>
  <c r="E7" i="9"/>
  <c r="G7" i="9" s="1"/>
  <c r="K6" i="4"/>
  <c r="L6" i="4"/>
  <c r="B6" i="9"/>
  <c r="C6" i="9"/>
  <c r="D6" i="9"/>
  <c r="E6" i="6"/>
  <c r="F6" i="6"/>
  <c r="G6" i="6" s="1"/>
  <c r="F6" i="7"/>
  <c r="E6" i="7"/>
  <c r="F6" i="8"/>
  <c r="E6" i="8"/>
  <c r="G6" i="8" s="1"/>
  <c r="E5" i="37"/>
  <c r="F5" i="37"/>
  <c r="G5" i="37" s="1"/>
  <c r="E5" i="36"/>
  <c r="F5" i="36"/>
  <c r="E5" i="35"/>
  <c r="F5" i="35"/>
  <c r="E5" i="34"/>
  <c r="F5" i="34"/>
  <c r="E5" i="33"/>
  <c r="F5" i="33"/>
  <c r="E5" i="32"/>
  <c r="F5" i="32"/>
  <c r="E5" i="31"/>
  <c r="F5" i="31"/>
  <c r="E5" i="30"/>
  <c r="F5" i="30"/>
  <c r="E5" i="29"/>
  <c r="F5" i="29"/>
  <c r="E5" i="28"/>
  <c r="F5" i="28"/>
  <c r="E5" i="27"/>
  <c r="F5" i="27"/>
  <c r="E5" i="26"/>
  <c r="F5" i="26"/>
  <c r="E5" i="25"/>
  <c r="F5" i="25"/>
  <c r="E5" i="24"/>
  <c r="F5" i="24"/>
  <c r="E5" i="23"/>
  <c r="F5" i="23"/>
  <c r="G5" i="23" s="1"/>
  <c r="E5" i="22"/>
  <c r="F5" i="22"/>
  <c r="E5" i="21"/>
  <c r="F5" i="21"/>
  <c r="E5" i="20"/>
  <c r="F5" i="20"/>
  <c r="E5" i="19"/>
  <c r="F5" i="19"/>
  <c r="E5" i="18"/>
  <c r="F5" i="18"/>
  <c r="E5" i="17"/>
  <c r="F5" i="17"/>
  <c r="E5" i="16"/>
  <c r="F5" i="16"/>
  <c r="G5" i="16" s="1"/>
  <c r="E5" i="15"/>
  <c r="F5" i="15"/>
  <c r="E5" i="14"/>
  <c r="F5" i="14"/>
  <c r="E5" i="13"/>
  <c r="F5" i="13"/>
  <c r="E5" i="12"/>
  <c r="F5" i="12"/>
  <c r="E5" i="11"/>
  <c r="F5" i="11"/>
  <c r="G5" i="11" s="1"/>
  <c r="G5" i="35" l="1"/>
  <c r="G5" i="28"/>
  <c r="G6" i="7"/>
  <c r="G5" i="34"/>
  <c r="G5" i="21"/>
  <c r="G5" i="12"/>
  <c r="G5" i="33"/>
  <c r="G5" i="13"/>
  <c r="G5" i="15"/>
  <c r="G5" i="17"/>
  <c r="G5" i="24"/>
  <c r="G5" i="25"/>
  <c r="G5" i="32"/>
  <c r="G5" i="30"/>
  <c r="G5" i="19"/>
  <c r="G5" i="26"/>
  <c r="G5" i="20"/>
  <c r="G5" i="27"/>
  <c r="G5" i="14"/>
  <c r="G5" i="31"/>
  <c r="G5" i="36"/>
  <c r="G5" i="18"/>
  <c r="G5" i="22"/>
  <c r="G5" i="29"/>
  <c r="F6" i="9"/>
  <c r="G6" i="9" s="1"/>
  <c r="E6" i="9"/>
  <c r="K5" i="4"/>
  <c r="L5" i="4"/>
  <c r="E4" i="37"/>
  <c r="F4" i="37"/>
  <c r="E4" i="36"/>
  <c r="F4" i="36"/>
  <c r="E4" i="35"/>
  <c r="F4" i="35"/>
  <c r="E4" i="34"/>
  <c r="F4" i="34"/>
  <c r="E4" i="33"/>
  <c r="F4" i="33"/>
  <c r="E4" i="32"/>
  <c r="F4" i="32"/>
  <c r="E4" i="31"/>
  <c r="F4" i="31"/>
  <c r="E4" i="30"/>
  <c r="F4" i="30"/>
  <c r="E4" i="29"/>
  <c r="F4" i="29"/>
  <c r="E4" i="28"/>
  <c r="F4" i="28"/>
  <c r="E4" i="27"/>
  <c r="F4" i="27"/>
  <c r="E4" i="26"/>
  <c r="F4" i="26"/>
  <c r="E4" i="25"/>
  <c r="F4" i="25"/>
  <c r="E4" i="24"/>
  <c r="F4" i="24"/>
  <c r="G4" i="24" s="1"/>
  <c r="E4" i="23"/>
  <c r="F4" i="23"/>
  <c r="E4" i="22"/>
  <c r="F4" i="22"/>
  <c r="E4" i="21"/>
  <c r="F4" i="21"/>
  <c r="G4" i="21" s="1"/>
  <c r="E4" i="20"/>
  <c r="F4" i="20"/>
  <c r="G4" i="20"/>
  <c r="E4" i="19"/>
  <c r="F4" i="19"/>
  <c r="E4" i="18"/>
  <c r="F4" i="18"/>
  <c r="E4" i="17"/>
  <c r="F4" i="17"/>
  <c r="E4" i="16"/>
  <c r="F4" i="16"/>
  <c r="E4" i="15"/>
  <c r="F4" i="15"/>
  <c r="E4" i="14"/>
  <c r="F4" i="14"/>
  <c r="E4" i="13"/>
  <c r="F4" i="13"/>
  <c r="G4" i="13"/>
  <c r="E4" i="12"/>
  <c r="F4" i="12"/>
  <c r="G4" i="12" s="1"/>
  <c r="E4" i="11"/>
  <c r="F4" i="11"/>
  <c r="G4" i="33" l="1"/>
  <c r="G4" i="25"/>
  <c r="G4" i="11"/>
  <c r="G4" i="32"/>
  <c r="G4" i="29"/>
  <c r="G4" i="36"/>
  <c r="G4" i="23"/>
  <c r="G4" i="30"/>
  <c r="G4" i="37"/>
  <c r="G4" i="16"/>
  <c r="G4" i="18"/>
  <c r="G4" i="35"/>
  <c r="G4" i="14"/>
  <c r="G4" i="27"/>
  <c r="G4" i="31"/>
  <c r="G4" i="34"/>
  <c r="G4" i="28"/>
  <c r="G4" i="17"/>
  <c r="G4" i="22"/>
  <c r="G4" i="15"/>
  <c r="G4" i="19"/>
  <c r="G4" i="26"/>
  <c r="B5" i="9" l="1"/>
  <c r="C5" i="9"/>
  <c r="E5" i="9" s="1"/>
  <c r="D5" i="9"/>
  <c r="F5" i="9" s="1"/>
  <c r="G5" i="9" l="1"/>
  <c r="E5" i="8" l="1"/>
  <c r="F5" i="8"/>
  <c r="G5" i="8" s="1"/>
  <c r="E5" i="7"/>
  <c r="F5" i="7"/>
  <c r="E5" i="6"/>
  <c r="F5" i="6"/>
  <c r="K4" i="4"/>
  <c r="L4" i="4"/>
  <c r="G5" i="6" l="1"/>
  <c r="G5" i="7"/>
</calcChain>
</file>

<file path=xl/sharedStrings.xml><?xml version="1.0" encoding="utf-8"?>
<sst xmlns="http://schemas.openxmlformats.org/spreadsheetml/2006/main" count="287" uniqueCount="61">
  <si>
    <t>Mês</t>
  </si>
  <si>
    <t>n.d.</t>
  </si>
  <si>
    <t>Dívidas Negativadas (milhões)</t>
  </si>
  <si>
    <t>Dívidas Negativadas          (R$ bilhões)</t>
  </si>
  <si>
    <t>Ticket Médio                 (R$)</t>
  </si>
  <si>
    <t>Dívida Média                 (R$)</t>
  </si>
  <si>
    <t>Indicador Serasa Experian de Inadimplência das Empresas</t>
  </si>
  <si>
    <t>Dívida Média                 (por CNPJ)</t>
  </si>
  <si>
    <t>Empresas Inadimplentes (milhões)</t>
  </si>
  <si>
    <t>Indicador Serasa Experian de Inadimplência das Empresas - Setor da Empresa Negativada (%)</t>
  </si>
  <si>
    <t>Comércio</t>
  </si>
  <si>
    <t>Serviços</t>
  </si>
  <si>
    <t>Indústria</t>
  </si>
  <si>
    <t>Primário</t>
  </si>
  <si>
    <t>Outros</t>
  </si>
  <si>
    <t>Bancos / Cartões (A)</t>
  </si>
  <si>
    <t>Utilities (B)</t>
  </si>
  <si>
    <t>Telefonia (C)</t>
  </si>
  <si>
    <t>Varejo (D)</t>
  </si>
  <si>
    <t>Serviços (E)</t>
  </si>
  <si>
    <t>Financeiras (F)</t>
  </si>
  <si>
    <t>Securitizadoras (G)</t>
  </si>
  <si>
    <t>Total Financeiro (A) + (F)</t>
  </si>
  <si>
    <t>Indicador Serasa Experian de Inadimplência das Empresas - Participação dos Setores na Inadimplência Total (%)</t>
  </si>
  <si>
    <t>Grandes Empresas</t>
  </si>
  <si>
    <t>Médias Empresas</t>
  </si>
  <si>
    <t>Micro e Pequenas Empresas</t>
  </si>
  <si>
    <t>Micro, Pequenas e Médias Empresas</t>
  </si>
  <si>
    <t>Dívidas Negativadas</t>
  </si>
  <si>
    <t>Empresas Inadimplentes</t>
  </si>
  <si>
    <t>Dívidas Negativadas    (R$)</t>
  </si>
  <si>
    <t>Indicador Serasa Experian de Inadimplência das Empresas - Acre</t>
  </si>
  <si>
    <t>Indicador Serasa Experian de Inadimplência das Empresas - Alagoas</t>
  </si>
  <si>
    <t>Indicador Serasa Experian de Inadimplência das Empresas - Amazonas</t>
  </si>
  <si>
    <t>Indicador Serasa Experian de Inadimplência das Empresas - Amapá</t>
  </si>
  <si>
    <t>Indicador Serasa Experian de Inadimplência das Empresas - Bahia</t>
  </si>
  <si>
    <t>Indicador Serasa Experian de Inadimplência das Empresas - Distrito Federal</t>
  </si>
  <si>
    <t>Indicador Serasa Experian de Inadimplência das Empresas - Ceará</t>
  </si>
  <si>
    <t>Indicador Serasa Experian de Inadimplência das Empresas - Espírito Santo</t>
  </si>
  <si>
    <t>Indicador Serasa Experian de Inadimplência das Empresas - Goiás</t>
  </si>
  <si>
    <t>Indicador Serasa Experian de Inadimplência das Empresas - Maranhão</t>
  </si>
  <si>
    <t>Indicador Serasa Experian de Inadimplência das Empresas - Minas Gerais</t>
  </si>
  <si>
    <t>Indicador Serasa Experian de Inadimplência das Empresas - Mato Grosso do Sul</t>
  </si>
  <si>
    <t>Indicador Serasa Experian de Inadimplência das Empresas - Mato Grosso</t>
  </si>
  <si>
    <t>Indicador Serasa Experian de Inadimplência das Empresas - Pará</t>
  </si>
  <si>
    <t>Indicador Serasa Experian de Inadimplência das Empresas - Paraíba</t>
  </si>
  <si>
    <t>Indicador Serasa Experian de Inadimplência das Empresas - Pernambuco</t>
  </si>
  <si>
    <t>Indicador Serasa Experian de Inadimplência das Empresas - Paraná</t>
  </si>
  <si>
    <t>Indicador Serasa Experian de Inadimplência das Empresas - Rio de Janeiro</t>
  </si>
  <si>
    <t>Indicador Serasa Experian de Inadimplência das Empresas - Rio Grande do Norte</t>
  </si>
  <si>
    <t>Indicador Serasa Experian de Inadimplência das Empresas - Rondônia</t>
  </si>
  <si>
    <t>Indicador Serasa Experian de Inadimplência das Empresas - Roraima</t>
  </si>
  <si>
    <t>Indicador Serasa Experian de Inadimplência das Empresas - Rio Grande do Sul</t>
  </si>
  <si>
    <t>Indicador Serasa Experian de Inadimplência das Empresas - Santa Catarina</t>
  </si>
  <si>
    <t>Indicador Serasa Experian de Inadimplência das Empresas - Sergipe</t>
  </si>
  <si>
    <t>Indicador Serasa Experian de Inadimplência das Empresas - São Paulo</t>
  </si>
  <si>
    <t>Indicador Serasa Experian de Inadimplência das Empresas - Tocantins</t>
  </si>
  <si>
    <t>Indicador Serasa Experian de Inadimplência das Empresas - Piauí</t>
  </si>
  <si>
    <t>Cooperativas (H)</t>
  </si>
  <si>
    <t>Outros (I)</t>
  </si>
  <si>
    <t>Total não Financeiro          (B) + (C) + (D) + (E) + (G) + (H) + 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</si>
</sst>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_(* #,##0.00_);_(* \(#,##0.00\);_(* &quot;-&quot;??_);_(@_)"/>
    <numFmt numFmtId="166" formatCode="[$-416]mmm\-yy;@"/>
    <numFmt numFmtId="167" formatCode="0.000"/>
    <numFmt numFmtId="168" formatCode="0.0"/>
    <numFmt numFmtId="169" formatCode="0.0%"/>
    <numFmt numFmtId="170" formatCode="_(* #,##0_);_(* \(#,##0\);_(* &quot;-&quot;??_);_(@_)"/>
    <numFmt numFmtId="171" formatCode="0.000000"/>
    <numFmt numFmtId="172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26478D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8288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66" fontId="4" fillId="2" borderId="3" xfId="0" applyNumberFormat="1" applyFont="1" applyFill="1" applyBorder="1" applyAlignment="1">
      <alignment horizontal="center"/>
    </xf>
    <xf numFmtId="168" fontId="4" fillId="2" borderId="2" xfId="1" applyNumberFormat="1" applyFont="1" applyFill="1" applyBorder="1" applyAlignment="1">
      <alignment horizontal="center"/>
    </xf>
    <xf numFmtId="0" fontId="4" fillId="2" borderId="0" xfId="0" applyFont="1" applyFill="1"/>
    <xf numFmtId="166" fontId="4" fillId="2" borderId="4" xfId="0" applyNumberFormat="1" applyFont="1" applyFill="1" applyBorder="1" applyAlignment="1">
      <alignment horizontal="center"/>
    </xf>
    <xf numFmtId="168" fontId="4" fillId="2" borderId="5" xfId="1" applyNumberFormat="1" applyFont="1" applyFill="1" applyBorder="1" applyAlignment="1">
      <alignment horizontal="center"/>
    </xf>
    <xf numFmtId="166" fontId="4" fillId="2" borderId="6" xfId="0" applyNumberFormat="1" applyFont="1" applyFill="1" applyBorder="1" applyAlignment="1">
      <alignment horizontal="center"/>
    </xf>
    <xf numFmtId="168" fontId="4" fillId="2" borderId="7" xfId="1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9" fontId="4" fillId="2" borderId="2" xfId="1" applyNumberFormat="1" applyFont="1" applyFill="1" applyBorder="1" applyAlignment="1">
      <alignment horizontal="center"/>
    </xf>
    <xf numFmtId="169" fontId="4" fillId="2" borderId="5" xfId="1" applyNumberFormat="1" applyFont="1" applyFill="1" applyBorder="1" applyAlignment="1">
      <alignment horizontal="center"/>
    </xf>
    <xf numFmtId="169" fontId="4" fillId="2" borderId="7" xfId="1" applyNumberFormat="1" applyFont="1" applyFill="1" applyBorder="1" applyAlignment="1">
      <alignment horizontal="center"/>
    </xf>
    <xf numFmtId="167" fontId="4" fillId="2" borderId="2" xfId="1" applyNumberFormat="1" applyFont="1" applyFill="1" applyBorder="1" applyAlignment="1">
      <alignment horizontal="center"/>
    </xf>
    <xf numFmtId="167" fontId="4" fillId="2" borderId="5" xfId="1" applyNumberFormat="1" applyFont="1" applyFill="1" applyBorder="1" applyAlignment="1">
      <alignment horizontal="center"/>
    </xf>
    <xf numFmtId="167" fontId="4" fillId="2" borderId="7" xfId="1" applyNumberFormat="1" applyFont="1" applyFill="1" applyBorder="1" applyAlignment="1">
      <alignment horizontal="center"/>
    </xf>
    <xf numFmtId="165" fontId="4" fillId="2" borderId="5" xfId="2" applyFont="1" applyFill="1" applyBorder="1" applyAlignment="1">
      <alignment horizontal="center"/>
    </xf>
    <xf numFmtId="165" fontId="4" fillId="2" borderId="2" xfId="2" applyFont="1" applyFill="1" applyBorder="1" applyAlignment="1">
      <alignment horizontal="center"/>
    </xf>
    <xf numFmtId="165" fontId="4" fillId="2" borderId="7" xfId="2" applyFont="1" applyFill="1" applyBorder="1" applyAlignment="1">
      <alignment horizontal="center"/>
    </xf>
    <xf numFmtId="170" fontId="4" fillId="2" borderId="2" xfId="2" applyNumberFormat="1" applyFont="1" applyFill="1" applyBorder="1" applyAlignment="1">
      <alignment horizontal="center"/>
    </xf>
    <xf numFmtId="170" fontId="4" fillId="2" borderId="5" xfId="2" applyNumberFormat="1" applyFont="1" applyFill="1" applyBorder="1" applyAlignment="1">
      <alignment horizontal="center"/>
    </xf>
    <xf numFmtId="170" fontId="4" fillId="2" borderId="7" xfId="2" applyNumberFormat="1" applyFont="1" applyFill="1" applyBorder="1" applyAlignment="1">
      <alignment horizontal="center"/>
    </xf>
    <xf numFmtId="171" fontId="0" fillId="2" borderId="0" xfId="0" applyNumberFormat="1" applyFill="1"/>
    <xf numFmtId="172" fontId="0" fillId="2" borderId="0" xfId="1" applyNumberFormat="1" applyFont="1" applyFill="1"/>
    <xf numFmtId="172" fontId="0" fillId="2" borderId="0" xfId="0" applyNumberFormat="1" applyFill="1"/>
    <xf numFmtId="172" fontId="5" fillId="2" borderId="0" xfId="0" applyNumberFormat="1" applyFont="1" applyFill="1"/>
    <xf numFmtId="169" fontId="6" fillId="2" borderId="0" xfId="1" applyNumberFormat="1" applyFont="1" applyFill="1"/>
    <xf numFmtId="169" fontId="0" fillId="2" borderId="0" xfId="1" applyNumberFormat="1" applyFont="1" applyFill="1"/>
    <xf numFmtId="2" fontId="4" fillId="2" borderId="5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504825</xdr:rowOff>
    </xdr:to>
    <xdr:pic>
      <xdr:nvPicPr>
        <xdr:cNvPr id="1026" name="Imagem 2">
          <a:extLst>
            <a:ext uri="{FF2B5EF4-FFF2-40B4-BE49-F238E27FC236}">
              <a16:creationId xmlns:a16="http://schemas.microsoft.com/office/drawing/2014/main" id="{09D0E832-9FD0-4A83-B784-C389957FA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050" name="Imagem 2">
          <a:extLst>
            <a:ext uri="{FF2B5EF4-FFF2-40B4-BE49-F238E27FC236}">
              <a16:creationId xmlns:a16="http://schemas.microsoft.com/office/drawing/2014/main" id="{B60ED96F-D490-4B83-9B89-4103D1060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3074" name="Imagem 1">
          <a:extLst>
            <a:ext uri="{FF2B5EF4-FFF2-40B4-BE49-F238E27FC236}">
              <a16:creationId xmlns:a16="http://schemas.microsoft.com/office/drawing/2014/main" id="{E9D3A754-1B81-4E1D-9D47-612A9A433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94381E-8B6F-44E8-8914-DC9CCA9BF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0</xdr:rowOff>
    </xdr:from>
    <xdr:to>
      <xdr:col>1</xdr:col>
      <xdr:colOff>0</xdr:colOff>
      <xdr:row>0</xdr:row>
      <xdr:rowOff>514350</xdr:rowOff>
    </xdr:to>
    <xdr:pic>
      <xdr:nvPicPr>
        <xdr:cNvPr id="4097" name="Imagem 1">
          <a:extLst>
            <a:ext uri="{FF2B5EF4-FFF2-40B4-BE49-F238E27FC236}">
              <a16:creationId xmlns:a16="http://schemas.microsoft.com/office/drawing/2014/main" id="{86F11F4C-5814-4936-BEA7-E8150C3E6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5121" name="Imagem 1">
          <a:extLst>
            <a:ext uri="{FF2B5EF4-FFF2-40B4-BE49-F238E27FC236}">
              <a16:creationId xmlns:a16="http://schemas.microsoft.com/office/drawing/2014/main" id="{A001F742-1EFB-44CF-B63F-3935AFBA6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6145" name="Imagem 1">
          <a:extLst>
            <a:ext uri="{FF2B5EF4-FFF2-40B4-BE49-F238E27FC236}">
              <a16:creationId xmlns:a16="http://schemas.microsoft.com/office/drawing/2014/main" id="{5CAAB33B-F7D4-422A-95F1-03D43ED2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4D5C88B-E373-4D01-B5A5-30CAC73C3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504825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A2F4B64-3344-4FC0-A2B7-84B7092ED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093B66E-B85D-4F1A-8356-E2BC5B43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73EC877-9BC4-48C7-988F-7FC4EAC0B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95CF62A-B44B-448D-9BE0-BCC2AB2E9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F14CA2B-E900-447B-9B85-ACEF579F9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CB7F69D-C942-45AF-8A29-323E60A16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4F832B9-74A3-430F-91FF-69ED83B4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236882C-5A4A-494B-BD2B-B7DBF8C13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93683D7-02B8-491E-9703-58FD920B6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07B9C8D-343D-479A-8258-76F12DFA2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245DB272-1D33-494F-B523-3E9E4F01B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9723DC6C-EEB4-4666-AE8C-7FFB6BCDC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52162B9-39DB-41B9-9E4C-86F79A2C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F128120-5785-43E8-836A-856B147DB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557B297-750E-42C9-95DB-9D331F91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7DC975E-B43F-49EB-BB07-6CE1051A0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7458711-1C15-40EC-9D87-B39091CD2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504825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A1009F7-3DB7-49CE-9CB8-2CE6C246D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2EBB6B0-5282-47A8-8E03-3E923DDC1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AB2120C-3253-4720-AB13-C1ED4CAE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F060334-F732-41C8-B24A-84D030C09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091C3BE-FD50-4E9E-BA72-18757EA2C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91335E1-D882-4500-A79E-DE7EE51C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63F28C3-7180-444F-B16A-456035F15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9C80C201-2EEA-4C9C-9A4B-1C48D85E7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1085850</xdr:colOff>
      <xdr:row>0</xdr:row>
      <xdr:rowOff>501650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A2377BB-E950-4F85-B935-FCFF0BB3A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90" zoomScaleNormal="90" workbookViewId="0">
      <pane xSplit="1" ySplit="3" topLeftCell="B27" activePane="bottomRight" state="frozen"/>
      <selection pane="topRight" activeCell="B1" sqref="B1"/>
      <selection pane="bottomLeft" activeCell="A5" sqref="A5"/>
      <selection pane="bottomRight" activeCell="J31" sqref="J31"/>
    </sheetView>
  </sheetViews>
  <sheetFormatPr defaultColWidth="9.1796875" defaultRowHeight="14.5" x14ac:dyDescent="0.35"/>
  <cols>
    <col min="1" max="7" width="16.26953125" style="1" customWidth="1"/>
    <col min="8" max="16384" width="9.1796875" style="1"/>
  </cols>
  <sheetData>
    <row r="1" spans="1:7" ht="45.5" customHeight="1" x14ac:dyDescent="0.35"/>
    <row r="2" spans="1:7" ht="15" thickBot="1" x14ac:dyDescent="0.4">
      <c r="A2" s="31" t="s">
        <v>6</v>
      </c>
      <c r="B2" s="31"/>
      <c r="C2" s="31"/>
      <c r="D2" s="31"/>
      <c r="E2" s="31"/>
      <c r="F2" s="31"/>
      <c r="G2" s="31"/>
    </row>
    <row r="3" spans="1:7" ht="51" customHeight="1" thickBot="1" x14ac:dyDescent="0.4">
      <c r="A3" s="2" t="s">
        <v>0</v>
      </c>
      <c r="B3" s="3" t="s">
        <v>8</v>
      </c>
      <c r="C3" s="3" t="s">
        <v>2</v>
      </c>
      <c r="D3" s="3" t="s">
        <v>3</v>
      </c>
      <c r="E3" s="3" t="s">
        <v>7</v>
      </c>
      <c r="F3" s="3" t="s">
        <v>5</v>
      </c>
      <c r="G3" s="3" t="s">
        <v>4</v>
      </c>
    </row>
    <row r="4" spans="1:7" x14ac:dyDescent="0.35">
      <c r="A4" s="4">
        <v>45292</v>
      </c>
      <c r="B4" s="5">
        <v>6.6645979999999998</v>
      </c>
      <c r="C4" s="5">
        <v>47.241985999999997</v>
      </c>
      <c r="D4" s="5">
        <v>127.798926095879</v>
      </c>
      <c r="E4" s="5">
        <f t="shared" ref="E4:E5" si="0">C4/B4</f>
        <v>7.0884974607620741</v>
      </c>
      <c r="F4" s="18">
        <f t="shared" ref="F4:F5" si="1">1000*D4/B4</f>
        <v>19175.789161758745</v>
      </c>
      <c r="G4" s="19">
        <f t="shared" ref="G4:G9" si="2">F4/E4</f>
        <v>2705.198001114496</v>
      </c>
    </row>
    <row r="5" spans="1:7" x14ac:dyDescent="0.35">
      <c r="A5" s="7">
        <v>45323</v>
      </c>
      <c r="B5" s="8">
        <v>6.6473610000000001</v>
      </c>
      <c r="C5" s="8">
        <v>47.362864999999999</v>
      </c>
      <c r="D5" s="8">
        <v>130.03722850732899</v>
      </c>
      <c r="E5" s="8">
        <f t="shared" si="0"/>
        <v>7.1250628632926656</v>
      </c>
      <c r="F5" s="18">
        <f t="shared" si="1"/>
        <v>19562.233570183565</v>
      </c>
      <c r="G5" s="18">
        <f t="shared" si="2"/>
        <v>2745.5524176446888</v>
      </c>
    </row>
    <row r="6" spans="1:7" x14ac:dyDescent="0.35">
      <c r="A6" s="7">
        <v>45352</v>
      </c>
      <c r="B6" s="8">
        <v>6.6715679999999997</v>
      </c>
      <c r="C6" s="8">
        <v>48.103889000000002</v>
      </c>
      <c r="D6" s="8">
        <v>134.004214533869</v>
      </c>
      <c r="E6" s="8">
        <f t="shared" ref="E6:E22" si="3">C6/B6</f>
        <v>7.2102823504159748</v>
      </c>
      <c r="F6" s="18">
        <f t="shared" ref="F6:F22" si="4">1000*D6/B6</f>
        <v>20085.86505209405</v>
      </c>
      <c r="G6" s="18">
        <f t="shared" si="2"/>
        <v>2785.7251735690015</v>
      </c>
    </row>
    <row r="7" spans="1:7" x14ac:dyDescent="0.35">
      <c r="A7" s="7">
        <v>45383</v>
      </c>
      <c r="B7" s="8">
        <v>6.7388909999999997</v>
      </c>
      <c r="C7" s="8">
        <v>48.782654000000001</v>
      </c>
      <c r="D7" s="8">
        <v>138.22258775896901</v>
      </c>
      <c r="E7" s="8">
        <f t="shared" si="3"/>
        <v>7.2389735937263273</v>
      </c>
      <c r="F7" s="18">
        <f t="shared" si="4"/>
        <v>20511.177248447708</v>
      </c>
      <c r="G7" s="18">
        <f t="shared" si="2"/>
        <v>2833.4372246120315</v>
      </c>
    </row>
    <row r="8" spans="1:7" x14ac:dyDescent="0.35">
      <c r="A8" s="7">
        <v>45413</v>
      </c>
      <c r="B8" s="8">
        <v>6.8667230000000004</v>
      </c>
      <c r="C8" s="8">
        <v>49.755541000000001</v>
      </c>
      <c r="D8" s="8">
        <v>143.87667809319001</v>
      </c>
      <c r="E8" s="8">
        <f t="shared" si="3"/>
        <v>7.2458931283524901</v>
      </c>
      <c r="F8" s="18">
        <f t="shared" si="4"/>
        <v>20952.742391558535</v>
      </c>
      <c r="G8" s="18">
        <f t="shared" si="2"/>
        <v>2891.6714641529074</v>
      </c>
    </row>
    <row r="9" spans="1:7" x14ac:dyDescent="0.35">
      <c r="A9" s="7">
        <v>45444</v>
      </c>
      <c r="B9" s="8">
        <v>6.9144620000000003</v>
      </c>
      <c r="C9" s="8">
        <v>49.967275999999998</v>
      </c>
      <c r="D9" s="8">
        <v>146.24885501616001</v>
      </c>
      <c r="E9" s="8">
        <f t="shared" si="3"/>
        <v>7.2264879031803195</v>
      </c>
      <c r="F9" s="18">
        <f t="shared" si="4"/>
        <v>21151.154640254004</v>
      </c>
      <c r="G9" s="18">
        <f t="shared" si="2"/>
        <v>2926.8926930529492</v>
      </c>
    </row>
    <row r="10" spans="1:7" x14ac:dyDescent="0.35">
      <c r="A10" s="7">
        <v>45474</v>
      </c>
      <c r="B10" s="8">
        <v>6.9004289999999999</v>
      </c>
      <c r="C10" s="8">
        <v>49.890072000000004</v>
      </c>
      <c r="D10" s="8">
        <v>147.14697935984401</v>
      </c>
      <c r="E10" s="8">
        <f t="shared" si="3"/>
        <v>7.2299957002673318</v>
      </c>
      <c r="F10" s="18">
        <f t="shared" si="4"/>
        <v>21324.323365959423</v>
      </c>
      <c r="G10" s="18">
        <f t="shared" ref="G10:G15" si="5">F10/E10</f>
        <v>2949.4240729867856</v>
      </c>
    </row>
    <row r="11" spans="1:7" x14ac:dyDescent="0.35">
      <c r="A11" s="7">
        <v>45505</v>
      </c>
      <c r="B11" s="8">
        <v>6.8752579999999996</v>
      </c>
      <c r="C11" s="8">
        <v>50.087443999999998</v>
      </c>
      <c r="D11" s="8">
        <v>149.12994679624001</v>
      </c>
      <c r="E11" s="8">
        <f t="shared" si="3"/>
        <v>7.2851730073256888</v>
      </c>
      <c r="F11" s="18">
        <f t="shared" si="4"/>
        <v>21690.814627791424</v>
      </c>
      <c r="G11" s="18">
        <f t="shared" si="5"/>
        <v>2977.3918348925931</v>
      </c>
    </row>
    <row r="12" spans="1:7" x14ac:dyDescent="0.35">
      <c r="A12" s="7">
        <v>45536</v>
      </c>
      <c r="B12" s="8">
        <v>6.9075920000000002</v>
      </c>
      <c r="C12" s="8">
        <v>50.592663999999999</v>
      </c>
      <c r="D12" s="8">
        <v>151.901674096769</v>
      </c>
      <c r="E12" s="8">
        <f t="shared" si="3"/>
        <v>7.3242113894393297</v>
      </c>
      <c r="F12" s="18">
        <f t="shared" si="4"/>
        <v>21990.539408924124</v>
      </c>
      <c r="G12" s="18">
        <f t="shared" si="5"/>
        <v>3002.4446646408855</v>
      </c>
    </row>
    <row r="13" spans="1:7" x14ac:dyDescent="0.35">
      <c r="A13" s="7">
        <v>45566</v>
      </c>
      <c r="B13" s="8">
        <v>6.9654740000000004</v>
      </c>
      <c r="C13" s="8">
        <v>51.338529999999999</v>
      </c>
      <c r="D13" s="8">
        <v>156.14659665906899</v>
      </c>
      <c r="E13" s="8">
        <f t="shared" si="3"/>
        <v>7.3704287748400175</v>
      </c>
      <c r="F13" s="18">
        <f t="shared" si="4"/>
        <v>22417.224823331329</v>
      </c>
      <c r="G13" s="18">
        <f t="shared" si="5"/>
        <v>3041.5089146313494</v>
      </c>
    </row>
    <row r="14" spans="1:7" x14ac:dyDescent="0.35">
      <c r="A14" s="7">
        <v>45597</v>
      </c>
      <c r="B14" s="8">
        <v>6.9591310000000002</v>
      </c>
      <c r="C14" s="8">
        <v>50.421469999999999</v>
      </c>
      <c r="D14" s="8">
        <v>153.35608301462901</v>
      </c>
      <c r="E14" s="8">
        <f t="shared" si="3"/>
        <v>7.2453687105473366</v>
      </c>
      <c r="F14" s="18">
        <f t="shared" si="4"/>
        <v>22036.671391101703</v>
      </c>
      <c r="G14" s="18">
        <f t="shared" si="5"/>
        <v>3041.4837769432147</v>
      </c>
    </row>
    <row r="15" spans="1:7" ht="15" thickBot="1" x14ac:dyDescent="0.4">
      <c r="A15" s="9">
        <v>45627</v>
      </c>
      <c r="B15" s="10">
        <v>6.9487540000000001</v>
      </c>
      <c r="C15" s="10">
        <v>50.175794000000003</v>
      </c>
      <c r="D15" s="8">
        <v>150.63587774773799</v>
      </c>
      <c r="E15" s="10">
        <f t="shared" si="3"/>
        <v>7.2208332601787317</v>
      </c>
      <c r="F15" s="20">
        <f t="shared" si="4"/>
        <v>21678.113478724099</v>
      </c>
      <c r="G15" s="20">
        <f t="shared" si="5"/>
        <v>3002.162312523405</v>
      </c>
    </row>
    <row r="16" spans="1:7" x14ac:dyDescent="0.35">
      <c r="A16" s="4">
        <v>45658</v>
      </c>
      <c r="B16" s="5">
        <v>7.0530730000000004</v>
      </c>
      <c r="C16" s="5">
        <v>50.552815000000002</v>
      </c>
      <c r="D16" s="5">
        <v>154.92714457743</v>
      </c>
      <c r="E16" s="5">
        <f t="shared" si="3"/>
        <v>7.1674878453689619</v>
      </c>
      <c r="F16" s="18">
        <f t="shared" si="4"/>
        <v>21965.906857539969</v>
      </c>
      <c r="G16" s="19">
        <f t="shared" ref="G16:G22" si="6">F16/E16</f>
        <v>3064.6591011287896</v>
      </c>
    </row>
    <row r="17" spans="1:7" x14ac:dyDescent="0.35">
      <c r="A17" s="7">
        <v>45689</v>
      </c>
      <c r="B17" s="8">
        <v>7.1827120000000004</v>
      </c>
      <c r="C17" s="8">
        <v>52.186500000000002</v>
      </c>
      <c r="D17" s="8">
        <v>164.24895414706</v>
      </c>
      <c r="E17" s="8">
        <f t="shared" si="3"/>
        <v>7.2655704419166467</v>
      </c>
      <c r="F17" s="18">
        <f t="shared" si="4"/>
        <v>22867.261578504051</v>
      </c>
      <c r="G17" s="18">
        <f t="shared" si="6"/>
        <v>3147.3456573454819</v>
      </c>
    </row>
    <row r="18" spans="1:7" x14ac:dyDescent="0.35">
      <c r="A18" s="7">
        <v>45717</v>
      </c>
      <c r="B18" s="8">
        <v>7.3290059999999997</v>
      </c>
      <c r="C18" s="8">
        <v>53.278222</v>
      </c>
      <c r="D18" s="8">
        <v>169.7864459518</v>
      </c>
      <c r="E18" s="8">
        <f t="shared" si="3"/>
        <v>7.2695017578099952</v>
      </c>
      <c r="F18" s="18">
        <f t="shared" si="4"/>
        <v>23166.367438067318</v>
      </c>
      <c r="G18" s="18">
        <f t="shared" si="6"/>
        <v>3186.7888900609332</v>
      </c>
    </row>
    <row r="19" spans="1:7" x14ac:dyDescent="0.35">
      <c r="A19" s="7">
        <v>45748</v>
      </c>
      <c r="B19" s="8">
        <v>7.5308229999999998</v>
      </c>
      <c r="C19" s="8">
        <v>54.838532000000001</v>
      </c>
      <c r="D19" s="8">
        <v>177.00507372999999</v>
      </c>
      <c r="E19" s="8">
        <f t="shared" si="3"/>
        <v>7.2818776911899272</v>
      </c>
      <c r="F19" s="18">
        <f t="shared" si="4"/>
        <v>23504.080992210282</v>
      </c>
      <c r="G19" s="18">
        <f t="shared" si="6"/>
        <v>3227.750037692475</v>
      </c>
    </row>
    <row r="20" spans="1:7" x14ac:dyDescent="0.35">
      <c r="A20" s="7">
        <v>45778</v>
      </c>
      <c r="B20" s="8">
        <v>7.6812639999999996</v>
      </c>
      <c r="C20" s="8">
        <v>56.032497999999997</v>
      </c>
      <c r="D20" s="8">
        <v>182.40638721600001</v>
      </c>
      <c r="E20" s="8">
        <f t="shared" si="3"/>
        <v>7.2946975914380756</v>
      </c>
      <c r="F20" s="18">
        <f t="shared" si="4"/>
        <v>23746.923320953429</v>
      </c>
      <c r="G20" s="18">
        <f t="shared" si="6"/>
        <v>3255.3677549053768</v>
      </c>
    </row>
    <row r="21" spans="1:7" x14ac:dyDescent="0.35">
      <c r="A21" s="7">
        <v>45809</v>
      </c>
      <c r="B21" s="8">
        <v>7.7927850000000003</v>
      </c>
      <c r="C21" s="8">
        <v>57.375687999999997</v>
      </c>
      <c r="D21" s="8">
        <v>188.41989591999999</v>
      </c>
      <c r="E21" s="8">
        <f t="shared" si="3"/>
        <v>7.3626679037083651</v>
      </c>
      <c r="F21" s="18">
        <f t="shared" si="4"/>
        <v>24178.762267918333</v>
      </c>
      <c r="G21" s="18">
        <f t="shared" si="6"/>
        <v>3283.9675215746433</v>
      </c>
    </row>
    <row r="22" spans="1:7" x14ac:dyDescent="0.35">
      <c r="A22" s="7">
        <v>45839</v>
      </c>
      <c r="B22" s="8">
        <v>7.9987880000000002</v>
      </c>
      <c r="C22" s="8">
        <v>58.573976999999999</v>
      </c>
      <c r="D22" s="8">
        <v>193.428396056</v>
      </c>
      <c r="E22" s="8">
        <f t="shared" si="3"/>
        <v>7.3228565377654711</v>
      </c>
      <c r="F22" s="18">
        <f t="shared" si="4"/>
        <v>24182.21311228651</v>
      </c>
      <c r="G22" s="18">
        <f t="shared" si="6"/>
        <v>3302.2923482897531</v>
      </c>
    </row>
    <row r="23" spans="1:7" x14ac:dyDescent="0.35">
      <c r="A23" s="7">
        <v>45870</v>
      </c>
      <c r="B23" s="8">
        <v>8.1136219999999994</v>
      </c>
      <c r="C23" s="8">
        <v>59.850641000000003</v>
      </c>
      <c r="D23" s="8">
        <v>199.84863367200001</v>
      </c>
      <c r="E23" s="8">
        <f t="shared" ref="E23:E34" si="7">IFERROR(C23/B23,"")</f>
        <v>7.3765626498251962</v>
      </c>
      <c r="F23" s="18">
        <f t="shared" ref="F23:F34" si="8">IFERROR(1000*D23/B23,"")</f>
        <v>24631.247754948407</v>
      </c>
      <c r="G23" s="18">
        <f t="shared" ref="G23:G28" si="9">IFERROR(F23/E23,"")</f>
        <v>3339.1226949766497</v>
      </c>
    </row>
    <row r="24" spans="1:7" x14ac:dyDescent="0.35">
      <c r="A24" s="7">
        <v>45901</v>
      </c>
      <c r="B24" s="8">
        <v>8.3797990000000002</v>
      </c>
      <c r="C24" s="8">
        <v>60.558393000000002</v>
      </c>
      <c r="D24" s="8">
        <v>201.73968115100001</v>
      </c>
      <c r="E24" s="8">
        <f t="shared" si="7"/>
        <v>7.226711881752772</v>
      </c>
      <c r="F24" s="18">
        <f t="shared" si="8"/>
        <v>24074.525075243455</v>
      </c>
      <c r="G24" s="18">
        <f t="shared" si="9"/>
        <v>3331.3248776433029</v>
      </c>
    </row>
    <row r="25" spans="1:7" x14ac:dyDescent="0.35">
      <c r="A25" s="7">
        <v>45931</v>
      </c>
      <c r="B25" s="8">
        <v>8.6570239999999998</v>
      </c>
      <c r="C25" s="8">
        <v>61.513323999999997</v>
      </c>
      <c r="D25" s="8">
        <v>204.81428331699999</v>
      </c>
      <c r="E25" s="8">
        <f t="shared" si="7"/>
        <v>7.1055970273387246</v>
      </c>
      <c r="F25" s="18">
        <f t="shared" si="8"/>
        <v>23658.74038433993</v>
      </c>
      <c r="G25" s="18">
        <f t="shared" si="9"/>
        <v>3329.5921923679498</v>
      </c>
    </row>
    <row r="26" spans="1:7" x14ac:dyDescent="0.35">
      <c r="A26" s="7">
        <v>45962</v>
      </c>
      <c r="B26" s="8">
        <v>8.8611810000000002</v>
      </c>
      <c r="C26" s="8">
        <v>62.455931999999997</v>
      </c>
      <c r="D26" s="8">
        <v>210.814689555</v>
      </c>
      <c r="E26" s="8">
        <f t="shared" si="7"/>
        <v>7.0482627541407847</v>
      </c>
      <c r="F26" s="18">
        <f t="shared" si="8"/>
        <v>23790.811806575217</v>
      </c>
      <c r="G26" s="18">
        <f t="shared" si="9"/>
        <v>3375.41499748975</v>
      </c>
    </row>
    <row r="27" spans="1:7" ht="15" thickBot="1" x14ac:dyDescent="0.4">
      <c r="A27" s="9">
        <v>45992</v>
      </c>
      <c r="B27" s="10">
        <v>8.9412789999999998</v>
      </c>
      <c r="C27" s="10">
        <v>62.989977000000003</v>
      </c>
      <c r="D27" s="10">
        <v>212.965682638</v>
      </c>
      <c r="E27" s="10">
        <f t="shared" si="7"/>
        <v>7.044850854111588</v>
      </c>
      <c r="F27" s="20">
        <f t="shared" si="8"/>
        <v>23818.257168577336</v>
      </c>
      <c r="G27" s="20">
        <f t="shared" si="9"/>
        <v>3380.9455532584175</v>
      </c>
    </row>
    <row r="28" spans="1:7" x14ac:dyDescent="0.35">
      <c r="A28" s="4">
        <v>46023</v>
      </c>
      <c r="B28" s="5">
        <v>8.7192380000000007</v>
      </c>
      <c r="C28" s="5">
        <v>60.115682999999997</v>
      </c>
      <c r="D28" s="5">
        <v>201.74918006600001</v>
      </c>
      <c r="E28" s="5">
        <f t="shared" si="7"/>
        <v>6.8946028311189567</v>
      </c>
      <c r="F28" s="18">
        <f t="shared" si="8"/>
        <v>23138.395816928038</v>
      </c>
      <c r="G28" s="19">
        <f t="shared" si="9"/>
        <v>3356.0157682313952</v>
      </c>
    </row>
    <row r="29" spans="1:7" x14ac:dyDescent="0.35">
      <c r="A29" s="7">
        <v>46054</v>
      </c>
      <c r="B29" s="8">
        <v>8.8119099999999992</v>
      </c>
      <c r="C29" s="8">
        <v>60.697113000000002</v>
      </c>
      <c r="D29" s="8">
        <v>204.581258776</v>
      </c>
      <c r="E29" s="8">
        <f t="shared" si="7"/>
        <v>6.8880768187600649</v>
      </c>
      <c r="F29" s="18">
        <f t="shared" si="8"/>
        <v>23216.44896237025</v>
      </c>
      <c r="G29" s="18">
        <f t="shared" ref="G29" si="10">IFERROR(F29/E29,"")</f>
        <v>3370.5270096783684</v>
      </c>
    </row>
    <row r="30" spans="1:7" x14ac:dyDescent="0.35">
      <c r="A30" s="7">
        <v>46082</v>
      </c>
      <c r="B30" s="8">
        <v>8.8708449999999992</v>
      </c>
      <c r="C30" s="8">
        <v>62.031574999999997</v>
      </c>
      <c r="D30" s="8">
        <v>212.837948625</v>
      </c>
      <c r="E30" s="8">
        <f t="shared" si="7"/>
        <v>6.9927470269179546</v>
      </c>
      <c r="F30" s="18">
        <f t="shared" si="8"/>
        <v>23992.973456869106</v>
      </c>
      <c r="G30" s="18">
        <f t="shared" ref="G30" si="11">IFERROR(F30/E30,"")</f>
        <v>3431.1227568379491</v>
      </c>
    </row>
    <row r="31" spans="1:7" x14ac:dyDescent="0.35">
      <c r="A31" s="7">
        <v>46113</v>
      </c>
      <c r="B31" s="8">
        <v>8.9572470000000006</v>
      </c>
      <c r="C31" s="8">
        <v>63.689681999999998</v>
      </c>
      <c r="D31" s="8">
        <v>220.938648546</v>
      </c>
      <c r="E31" s="8">
        <f t="shared" si="7"/>
        <v>7.1104081421445668</v>
      </c>
      <c r="F31" s="18">
        <f t="shared" si="8"/>
        <v>24665.910021907395</v>
      </c>
      <c r="G31" s="18">
        <f t="shared" ref="G31" si="12">IFERROR(F31/E31,"")</f>
        <v>3468.9865235313937</v>
      </c>
    </row>
    <row r="32" spans="1:7" x14ac:dyDescent="0.35">
      <c r="A32" s="7">
        <v>46143</v>
      </c>
      <c r="B32" s="8">
        <v>9.0160300000000007</v>
      </c>
      <c r="C32" s="8">
        <v>65.382979000000006</v>
      </c>
      <c r="D32" s="8">
        <v>229.85536156000001</v>
      </c>
      <c r="E32" s="8">
        <f t="shared" si="7"/>
        <v>7.2518590776650038</v>
      </c>
      <c r="F32" s="18">
        <f t="shared" si="8"/>
        <v>25494.076834260755</v>
      </c>
      <c r="G32" s="18">
        <f t="shared" ref="G32" si="13">IFERROR(F32/E32,"")</f>
        <v>3515.5229247049142</v>
      </c>
    </row>
    <row r="33" spans="1:7" x14ac:dyDescent="0.35">
      <c r="A33" s="7">
        <v>46174</v>
      </c>
      <c r="B33" s="8">
        <v>9.1302909999999997</v>
      </c>
      <c r="C33" s="8">
        <v>66.245554999999996</v>
      </c>
      <c r="D33" s="8">
        <v>232.90419142900001</v>
      </c>
      <c r="E33" s="8">
        <f t="shared" si="7"/>
        <v>7.2555798057257972</v>
      </c>
      <c r="F33" s="18">
        <f t="shared" si="8"/>
        <v>25508.956004688131</v>
      </c>
      <c r="G33" s="18">
        <f t="shared" ref="G33" si="14">IFERROR(F33/E33,"")</f>
        <v>3515.7708532897041</v>
      </c>
    </row>
    <row r="34" spans="1:7" x14ac:dyDescent="0.35">
      <c r="A34" s="7">
        <v>46204</v>
      </c>
      <c r="B34" s="8">
        <v>9.1836839999999995</v>
      </c>
      <c r="C34" s="8">
        <v>67.188902999999996</v>
      </c>
      <c r="D34" s="8">
        <v>238.62775366599999</v>
      </c>
      <c r="E34" s="8">
        <f t="shared" si="7"/>
        <v>7.3161166041862939</v>
      </c>
      <c r="F34" s="18">
        <f t="shared" si="8"/>
        <v>25983.881159891826</v>
      </c>
      <c r="G34" s="18">
        <f t="shared" ref="G34" si="15">IFERROR(F34/E34,"")</f>
        <v>3551.5947278674871</v>
      </c>
    </row>
    <row r="35" spans="1:7" x14ac:dyDescent="0.35">
      <c r="A35" s="7">
        <v>46235</v>
      </c>
      <c r="B35" s="8"/>
      <c r="C35" s="8"/>
      <c r="D35" s="8"/>
      <c r="E35" s="8"/>
      <c r="F35" s="30"/>
      <c r="G35" s="30"/>
    </row>
    <row r="36" spans="1:7" x14ac:dyDescent="0.35">
      <c r="A36" s="7">
        <v>46266</v>
      </c>
      <c r="B36" s="8"/>
      <c r="C36" s="8"/>
      <c r="D36" s="8"/>
      <c r="E36" s="8"/>
      <c r="F36" s="8"/>
      <c r="G36" s="8"/>
    </row>
    <row r="37" spans="1:7" x14ac:dyDescent="0.35">
      <c r="A37" s="7">
        <v>46296</v>
      </c>
      <c r="B37" s="8"/>
      <c r="C37" s="8"/>
      <c r="D37" s="8"/>
      <c r="E37" s="8"/>
      <c r="F37" s="8"/>
      <c r="G37" s="8"/>
    </row>
    <row r="38" spans="1:7" x14ac:dyDescent="0.35">
      <c r="A38" s="7">
        <v>46327</v>
      </c>
      <c r="B38" s="8"/>
      <c r="C38" s="8"/>
      <c r="D38" s="8"/>
      <c r="E38" s="8"/>
      <c r="F38" s="8"/>
      <c r="G38" s="8"/>
    </row>
    <row r="39" spans="1:7" ht="15" thickBot="1" x14ac:dyDescent="0.4">
      <c r="A39" s="9">
        <v>46357</v>
      </c>
      <c r="B39" s="10"/>
      <c r="C39" s="10"/>
      <c r="D39" s="10"/>
      <c r="E39" s="10"/>
      <c r="F39" s="10"/>
      <c r="G39" s="10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zoomScale="90" zoomScaleNormal="90" workbookViewId="0">
      <pane xSplit="1" ySplit="3" topLeftCell="B27" activePane="bottomRight" state="frozen"/>
      <selection activeCell="I119" sqref="I119"/>
      <selection pane="topRight" activeCell="I119" sqref="I119"/>
      <selection pane="bottomLeft" activeCell="I119" sqref="I119"/>
      <selection pane="bottomRight" activeCell="B4" sqref="B4"/>
    </sheetView>
  </sheetViews>
  <sheetFormatPr defaultColWidth="9.1796875" defaultRowHeight="14.5" x14ac:dyDescent="0.35"/>
  <cols>
    <col min="1" max="1" width="16.26953125" style="1" customWidth="1"/>
    <col min="2" max="2" width="15.7265625" style="1" bestFit="1" customWidth="1"/>
    <col min="3" max="6" width="16.26953125" style="1" customWidth="1"/>
    <col min="7" max="16384" width="9.1796875" style="1"/>
  </cols>
  <sheetData>
    <row r="1" spans="1:7" ht="45.5" customHeight="1" x14ac:dyDescent="0.35"/>
    <row r="2" spans="1:7" ht="15" thickBot="1" x14ac:dyDescent="0.4">
      <c r="A2" s="31" t="s">
        <v>9</v>
      </c>
      <c r="B2" s="31"/>
      <c r="C2" s="31"/>
      <c r="D2" s="31"/>
      <c r="E2" s="31"/>
      <c r="F2" s="31"/>
    </row>
    <row r="3" spans="1:7" ht="39.5" customHeight="1" thickBot="1" x14ac:dyDescent="0.4">
      <c r="A3" s="2" t="s">
        <v>0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7" x14ac:dyDescent="0.35">
      <c r="A4" s="4">
        <v>45292</v>
      </c>
      <c r="B4" s="12">
        <v>0.36379028412516407</v>
      </c>
      <c r="C4" s="12">
        <v>0.51884427790986209</v>
      </c>
      <c r="D4" s="12">
        <v>7.5095902258470806E-2</v>
      </c>
      <c r="E4" s="12">
        <v>8.1292224977410482E-3</v>
      </c>
      <c r="F4" s="12">
        <v>3.4140313208761985E-2</v>
      </c>
      <c r="G4" s="6"/>
    </row>
    <row r="5" spans="1:7" x14ac:dyDescent="0.35">
      <c r="A5" s="7">
        <v>45323</v>
      </c>
      <c r="B5" s="13">
        <v>0.36275418169706747</v>
      </c>
      <c r="C5" s="13">
        <v>0.5199747448066383</v>
      </c>
      <c r="D5" s="13">
        <v>7.4991263450262441E-2</v>
      </c>
      <c r="E5" s="13">
        <v>8.1475942106950406E-3</v>
      </c>
      <c r="F5" s="13">
        <v>3.4132215835336766E-2</v>
      </c>
      <c r="G5" s="6"/>
    </row>
    <row r="6" spans="1:7" x14ac:dyDescent="0.35">
      <c r="A6" s="7">
        <v>45352</v>
      </c>
      <c r="B6" s="13">
        <v>0.36177357406834493</v>
      </c>
      <c r="C6" s="13">
        <v>0.52094895217007375</v>
      </c>
      <c r="D6" s="13">
        <v>7.4984471416614504E-2</v>
      </c>
      <c r="E6" s="13">
        <v>8.1911778460475853E-3</v>
      </c>
      <c r="F6" s="13">
        <v>3.4101824498919187E-2</v>
      </c>
    </row>
    <row r="7" spans="1:7" x14ac:dyDescent="0.35">
      <c r="A7" s="7">
        <v>45383</v>
      </c>
      <c r="B7" s="13">
        <v>0.35999335795756304</v>
      </c>
      <c r="C7" s="13">
        <v>0.52373898259071006</v>
      </c>
      <c r="D7" s="13">
        <v>7.4618064010829085E-2</v>
      </c>
      <c r="E7" s="13">
        <v>7.9665927227491884E-3</v>
      </c>
      <c r="F7" s="13">
        <v>3.3683002718148503E-2</v>
      </c>
    </row>
    <row r="8" spans="1:7" x14ac:dyDescent="0.35">
      <c r="A8" s="7">
        <v>45413</v>
      </c>
      <c r="B8" s="13">
        <v>0.35913783037411001</v>
      </c>
      <c r="C8" s="13">
        <v>0.52567877380812134</v>
      </c>
      <c r="D8" s="13">
        <v>7.3879782248388357E-2</v>
      </c>
      <c r="E8" s="13">
        <v>7.8763916936797941E-3</v>
      </c>
      <c r="F8" s="13">
        <v>3.3427221875700464E-2</v>
      </c>
    </row>
    <row r="9" spans="1:7" x14ac:dyDescent="0.35">
      <c r="A9" s="7">
        <v>45444</v>
      </c>
      <c r="B9" s="13">
        <v>0.35739975141956093</v>
      </c>
      <c r="C9" s="13">
        <v>0.5277056729656513</v>
      </c>
      <c r="D9" s="13">
        <v>7.3551781758291537E-2</v>
      </c>
      <c r="E9" s="13">
        <v>7.8227344368947283E-3</v>
      </c>
      <c r="F9" s="13">
        <v>3.3520059419601567E-2</v>
      </c>
    </row>
    <row r="10" spans="1:7" x14ac:dyDescent="0.35">
      <c r="A10" s="7">
        <v>45474</v>
      </c>
      <c r="B10" s="13">
        <v>0.35649986399396327</v>
      </c>
      <c r="C10" s="13">
        <v>0.52888972117843358</v>
      </c>
      <c r="D10" s="13">
        <v>7.343572406874993E-2</v>
      </c>
      <c r="E10" s="13">
        <v>7.7024196611544006E-3</v>
      </c>
      <c r="F10" s="13">
        <v>3.3472271097698902E-2</v>
      </c>
    </row>
    <row r="11" spans="1:7" x14ac:dyDescent="0.35">
      <c r="A11" s="7">
        <v>45505</v>
      </c>
      <c r="B11" s="13">
        <v>0.35613558065748224</v>
      </c>
      <c r="C11" s="13">
        <v>0.52956374601246559</v>
      </c>
      <c r="D11" s="13">
        <v>7.3224452086016259E-2</v>
      </c>
      <c r="E11" s="13">
        <v>7.6471312058398388E-3</v>
      </c>
      <c r="F11" s="13">
        <v>3.3429090038196052E-2</v>
      </c>
    </row>
    <row r="12" spans="1:7" x14ac:dyDescent="0.35">
      <c r="A12" s="7">
        <v>45536</v>
      </c>
      <c r="B12" s="13">
        <v>0.35556413870419679</v>
      </c>
      <c r="C12" s="13">
        <v>0.53032793478904749</v>
      </c>
      <c r="D12" s="13">
        <v>7.3073655768898918E-2</v>
      </c>
      <c r="E12" s="13">
        <v>7.5926603655803639E-3</v>
      </c>
      <c r="F12" s="13">
        <v>3.3441610372276442E-2</v>
      </c>
    </row>
    <row r="13" spans="1:7" x14ac:dyDescent="0.35">
      <c r="A13" s="7">
        <v>45566</v>
      </c>
      <c r="B13" s="13">
        <v>0.35437846728018796</v>
      </c>
      <c r="C13" s="13">
        <v>0.53176279065751075</v>
      </c>
      <c r="D13" s="13">
        <v>7.2864675110408852E-2</v>
      </c>
      <c r="E13" s="13">
        <v>7.5660321178429493E-3</v>
      </c>
      <c r="F13" s="13">
        <v>3.3428034834049547E-2</v>
      </c>
    </row>
    <row r="14" spans="1:7" x14ac:dyDescent="0.35">
      <c r="A14" s="7">
        <v>45597</v>
      </c>
      <c r="B14" s="13">
        <v>0.35560143931763893</v>
      </c>
      <c r="C14" s="13">
        <v>0.5214701375789591</v>
      </c>
      <c r="D14" s="13">
        <v>8.0136442323042914E-2</v>
      </c>
      <c r="E14" s="13">
        <v>9.9051160266993114E-3</v>
      </c>
      <c r="F14" s="13">
        <v>3.2886864753659616E-2</v>
      </c>
    </row>
    <row r="15" spans="1:7" ht="15" thickBot="1" x14ac:dyDescent="0.4">
      <c r="A15" s="9">
        <v>45627</v>
      </c>
      <c r="B15" s="14">
        <v>0.35443246371939485</v>
      </c>
      <c r="C15" s="14">
        <v>0.52241955895977898</v>
      </c>
      <c r="D15" s="14">
        <v>7.9884249751826009E-2</v>
      </c>
      <c r="E15" s="14">
        <v>9.9440849395445573E-3</v>
      </c>
      <c r="F15" s="14">
        <v>3.3319642629455581E-2</v>
      </c>
    </row>
    <row r="16" spans="1:7" x14ac:dyDescent="0.35">
      <c r="A16" s="4">
        <v>45658</v>
      </c>
      <c r="B16" s="12">
        <v>0.35264656980014242</v>
      </c>
      <c r="C16" s="12">
        <v>0.52429501296810621</v>
      </c>
      <c r="D16" s="12">
        <v>7.9996052784367888E-2</v>
      </c>
      <c r="E16" s="12">
        <v>9.9966355090894427E-3</v>
      </c>
      <c r="F16" s="12">
        <v>3.3065728938293987E-2</v>
      </c>
      <c r="G16" s="6"/>
    </row>
    <row r="17" spans="1:7" x14ac:dyDescent="0.35">
      <c r="A17" s="7">
        <v>45689</v>
      </c>
      <c r="B17" s="13">
        <v>0.34962086743837145</v>
      </c>
      <c r="C17" s="13">
        <v>0.52783071352436239</v>
      </c>
      <c r="D17" s="13">
        <v>7.9949885224411057E-2</v>
      </c>
      <c r="E17" s="13">
        <v>9.953621974541093E-3</v>
      </c>
      <c r="F17" s="13">
        <v>3.2644911838313993E-2</v>
      </c>
      <c r="G17" s="6"/>
    </row>
    <row r="18" spans="1:7" x14ac:dyDescent="0.35">
      <c r="A18" s="7">
        <v>45717</v>
      </c>
      <c r="B18" s="13">
        <v>0.3476045728438481</v>
      </c>
      <c r="C18" s="13">
        <v>0.5301283693859713</v>
      </c>
      <c r="D18" s="13">
        <v>7.9805638036044721E-2</v>
      </c>
      <c r="E18" s="13">
        <v>9.9570119058437125E-3</v>
      </c>
      <c r="F18" s="13">
        <v>3.2504407828292128E-2</v>
      </c>
    </row>
    <row r="19" spans="1:7" x14ac:dyDescent="0.35">
      <c r="A19" s="7">
        <v>45748</v>
      </c>
      <c r="B19" s="13">
        <v>0.34452330110533735</v>
      </c>
      <c r="C19" s="13">
        <v>0.53349760046146355</v>
      </c>
      <c r="D19" s="13">
        <v>7.9907999431137869E-2</v>
      </c>
      <c r="E19" s="13">
        <v>9.8635965816750697E-3</v>
      </c>
      <c r="F19" s="13">
        <v>3.220750242038619E-2</v>
      </c>
    </row>
    <row r="20" spans="1:7" x14ac:dyDescent="0.35">
      <c r="A20" s="7">
        <v>45778</v>
      </c>
      <c r="B20" s="13">
        <v>0.34120452050600003</v>
      </c>
      <c r="C20" s="13">
        <v>0.53678339919054985</v>
      </c>
      <c r="D20" s="13">
        <v>8.0151261563201057E-2</v>
      </c>
      <c r="E20" s="13">
        <v>9.8635965816750697E-3</v>
      </c>
      <c r="F20" s="13">
        <v>3.2088468772847809E-2</v>
      </c>
    </row>
    <row r="21" spans="1:7" x14ac:dyDescent="0.35">
      <c r="A21" s="7">
        <v>45809</v>
      </c>
      <c r="B21" s="13">
        <v>0.33945502153594637</v>
      </c>
      <c r="C21" s="13">
        <v>0.53848155697866684</v>
      </c>
      <c r="D21" s="13">
        <v>8.0151576105333328E-2</v>
      </c>
      <c r="E21" s="13">
        <v>9.7741693117415658E-3</v>
      </c>
      <c r="F21" s="13">
        <v>3.2137676068311909E-2</v>
      </c>
    </row>
    <row r="22" spans="1:7" x14ac:dyDescent="0.35">
      <c r="A22" s="7">
        <v>45839</v>
      </c>
      <c r="B22" s="13">
        <v>0.33720221113498694</v>
      </c>
      <c r="C22" s="13">
        <v>0.54129525623131902</v>
      </c>
      <c r="D22" s="13">
        <v>8.0106011060675691E-2</v>
      </c>
      <c r="E22" s="13">
        <v>9.5868274043517596E-3</v>
      </c>
      <c r="F22" s="13">
        <v>3.1809694168666552E-2</v>
      </c>
    </row>
    <row r="23" spans="1:7" x14ac:dyDescent="0.35">
      <c r="A23" s="7">
        <v>45870</v>
      </c>
      <c r="B23" s="13">
        <v>0.33534628554300411</v>
      </c>
      <c r="C23" s="13">
        <v>0.54327154999333216</v>
      </c>
      <c r="D23" s="13">
        <v>8.0130181070796738E-2</v>
      </c>
      <c r="E23" s="13">
        <v>9.4870083915666766E-3</v>
      </c>
      <c r="F23" s="13">
        <v>3.176497500130028E-2</v>
      </c>
    </row>
    <row r="24" spans="1:7" x14ac:dyDescent="0.35">
      <c r="A24" s="7">
        <v>45901</v>
      </c>
      <c r="B24" s="13">
        <v>0.33223159905655647</v>
      </c>
      <c r="C24" s="13">
        <v>0.54670150400094708</v>
      </c>
      <c r="D24" s="13">
        <v>8.0311082406191475E-2</v>
      </c>
      <c r="E24" s="13">
        <v>9.2697477992762355E-3</v>
      </c>
      <c r="F24" s="13">
        <v>3.1486066737028723E-2</v>
      </c>
    </row>
    <row r="25" spans="1:7" x14ac:dyDescent="0.35">
      <c r="A25" s="7">
        <v>45931</v>
      </c>
      <c r="B25" s="13">
        <v>0.32987433094791002</v>
      </c>
      <c r="C25" s="13">
        <v>0.54921806847249122</v>
      </c>
      <c r="D25" s="13">
        <v>8.0404420733961229E-2</v>
      </c>
      <c r="E25" s="13">
        <v>9.1524523901054221E-3</v>
      </c>
      <c r="F25" s="13">
        <v>3.1350727455532065E-2</v>
      </c>
    </row>
    <row r="26" spans="1:7" x14ac:dyDescent="0.35">
      <c r="A26" s="7">
        <v>45962</v>
      </c>
      <c r="B26" s="13">
        <v>0.32716146978602512</v>
      </c>
      <c r="C26" s="13">
        <v>0.55214299312924542</v>
      </c>
      <c r="D26" s="13">
        <v>8.0709219233869617E-2</v>
      </c>
      <c r="E26" s="13">
        <v>9.0104242312621756E-3</v>
      </c>
      <c r="F26" s="13">
        <v>3.0975893619597655E-2</v>
      </c>
    </row>
    <row r="27" spans="1:7" ht="15" thickBot="1" x14ac:dyDescent="0.4">
      <c r="A27" s="9">
        <v>45992</v>
      </c>
      <c r="B27" s="14">
        <v>0.32689092913888496</v>
      </c>
      <c r="C27" s="14">
        <v>0.55227736434574959</v>
      </c>
      <c r="D27" s="14">
        <v>8.0775244794396864E-2</v>
      </c>
      <c r="E27" s="14">
        <v>9.0670473430031658E-3</v>
      </c>
      <c r="F27" s="14">
        <v>3.0989414377965388E-2</v>
      </c>
    </row>
    <row r="28" spans="1:7" x14ac:dyDescent="0.35">
      <c r="A28" s="4">
        <v>46023</v>
      </c>
      <c r="B28" s="12">
        <v>0.32688395476760701</v>
      </c>
      <c r="C28" s="12">
        <v>0.55253738916175932</v>
      </c>
      <c r="D28" s="12">
        <v>8.0608993584072364E-2</v>
      </c>
      <c r="E28" s="12">
        <v>9.2487439842793596E-3</v>
      </c>
      <c r="F28" s="12">
        <v>3.0720918502281966E-2</v>
      </c>
      <c r="G28" s="6"/>
    </row>
    <row r="29" spans="1:7" x14ac:dyDescent="0.35">
      <c r="A29" s="7">
        <v>46054</v>
      </c>
      <c r="B29" s="13">
        <v>0.32552397834294722</v>
      </c>
      <c r="C29" s="13">
        <v>0.55409077033242504</v>
      </c>
      <c r="D29" s="13">
        <v>8.0635412753875146E-2</v>
      </c>
      <c r="E29" s="13">
        <v>9.2862954796406223E-3</v>
      </c>
      <c r="F29" s="13">
        <v>3.0463543091111916E-2</v>
      </c>
      <c r="G29" s="6"/>
    </row>
    <row r="30" spans="1:7" x14ac:dyDescent="0.35">
      <c r="A30" s="7">
        <v>46082</v>
      </c>
      <c r="B30" s="13">
        <v>0.32434069133211096</v>
      </c>
      <c r="C30" s="13">
        <v>0.55514711394461291</v>
      </c>
      <c r="D30" s="13">
        <v>8.068058905324127E-2</v>
      </c>
      <c r="E30" s="13">
        <v>9.3603258765089462E-3</v>
      </c>
      <c r="F30" s="13">
        <v>3.0471279793525874E-2</v>
      </c>
    </row>
    <row r="31" spans="1:7" x14ac:dyDescent="0.35">
      <c r="A31" s="7">
        <v>46113</v>
      </c>
      <c r="B31" s="13">
        <v>0.32371051060666295</v>
      </c>
      <c r="C31" s="13">
        <v>0.55578918388652232</v>
      </c>
      <c r="D31" s="13">
        <v>8.0597643450046649E-2</v>
      </c>
      <c r="E31" s="13">
        <v>9.4171791846311709E-3</v>
      </c>
      <c r="F31" s="13">
        <v>3.048548287213694E-2</v>
      </c>
    </row>
    <row r="32" spans="1:7" x14ac:dyDescent="0.35">
      <c r="A32" s="7">
        <v>46143</v>
      </c>
      <c r="B32" s="13">
        <v>0.32298428465743789</v>
      </c>
      <c r="C32" s="13">
        <v>0.5563911167110136</v>
      </c>
      <c r="D32" s="13">
        <v>8.0576151587783099E-2</v>
      </c>
      <c r="E32" s="13">
        <v>9.4885442927763099E-3</v>
      </c>
      <c r="F32" s="13">
        <v>3.0559902750989069E-2</v>
      </c>
    </row>
    <row r="33" spans="1:6" x14ac:dyDescent="0.35">
      <c r="A33" s="7">
        <v>46174</v>
      </c>
      <c r="B33" s="13">
        <v>0.32224887465251656</v>
      </c>
      <c r="C33" s="13">
        <v>0.55713525450612689</v>
      </c>
      <c r="D33" s="13">
        <v>8.0373122828177115E-2</v>
      </c>
      <c r="E33" s="13">
        <v>9.4964114506317487E-3</v>
      </c>
      <c r="F33" s="13">
        <v>3.0746336562547678E-2</v>
      </c>
    </row>
    <row r="34" spans="1:6" x14ac:dyDescent="0.35">
      <c r="A34" s="7">
        <v>46204</v>
      </c>
      <c r="B34" s="13">
        <v>0.32144986695970812</v>
      </c>
      <c r="C34" s="13">
        <v>0.55799023572675188</v>
      </c>
      <c r="D34" s="13">
        <v>8.0255374640503752E-2</v>
      </c>
      <c r="E34" s="13">
        <v>9.5546623773204737E-3</v>
      </c>
      <c r="F34" s="13">
        <v>3.0749860295715751E-2</v>
      </c>
    </row>
    <row r="35" spans="1:6" x14ac:dyDescent="0.35">
      <c r="A35" s="7">
        <v>46235</v>
      </c>
      <c r="B35" s="13"/>
      <c r="C35" s="13"/>
      <c r="D35" s="13"/>
      <c r="E35" s="13"/>
      <c r="F35" s="13"/>
    </row>
    <row r="36" spans="1:6" x14ac:dyDescent="0.35">
      <c r="A36" s="7">
        <v>46266</v>
      </c>
      <c r="B36" s="13"/>
      <c r="C36" s="13"/>
      <c r="D36" s="13"/>
      <c r="E36" s="13"/>
      <c r="F36" s="13"/>
    </row>
    <row r="37" spans="1:6" x14ac:dyDescent="0.35">
      <c r="A37" s="7">
        <v>46296</v>
      </c>
      <c r="B37" s="13"/>
      <c r="C37" s="13"/>
      <c r="D37" s="13"/>
      <c r="E37" s="13"/>
      <c r="F37" s="13"/>
    </row>
    <row r="38" spans="1:6" x14ac:dyDescent="0.35">
      <c r="A38" s="7">
        <v>46327</v>
      </c>
      <c r="B38" s="13"/>
      <c r="C38" s="13"/>
      <c r="D38" s="13"/>
      <c r="E38" s="13"/>
      <c r="F38" s="13"/>
    </row>
    <row r="39" spans="1:6" ht="15" thickBot="1" x14ac:dyDescent="0.4">
      <c r="A39" s="9">
        <v>46357</v>
      </c>
      <c r="B39" s="14"/>
      <c r="C39" s="14"/>
      <c r="D39" s="14"/>
      <c r="E39" s="14"/>
      <c r="F39" s="14"/>
    </row>
  </sheetData>
  <mergeCells count="1">
    <mergeCell ref="A2:F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zoomScale="90" zoomScaleNormal="90" workbookViewId="0">
      <pane xSplit="1" ySplit="3" topLeftCell="B27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9.1796875" defaultRowHeight="14.5" x14ac:dyDescent="0.35"/>
  <cols>
    <col min="1" max="1" width="16.26953125" style="1" customWidth="1"/>
    <col min="2" max="2" width="15.7265625" style="1" bestFit="1" customWidth="1"/>
    <col min="3" max="11" width="16.26953125" style="1" customWidth="1"/>
    <col min="12" max="12" width="17.26953125" style="1" customWidth="1"/>
    <col min="13" max="16384" width="9.1796875" style="1"/>
  </cols>
  <sheetData>
    <row r="1" spans="1:12" ht="45.5" customHeight="1" x14ac:dyDescent="0.35"/>
    <row r="2" spans="1:12" ht="15" thickBot="1" x14ac:dyDescent="0.4">
      <c r="A2" s="32" t="s">
        <v>23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70" customHeight="1" thickBot="1" x14ac:dyDescent="0.4">
      <c r="A3" s="2" t="s">
        <v>0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2" t="s">
        <v>20</v>
      </c>
      <c r="H3" s="3" t="s">
        <v>21</v>
      </c>
      <c r="I3" s="3" t="s">
        <v>58</v>
      </c>
      <c r="J3" s="3" t="s">
        <v>59</v>
      </c>
      <c r="K3" s="3" t="s">
        <v>22</v>
      </c>
      <c r="L3" s="3" t="s">
        <v>60</v>
      </c>
    </row>
    <row r="4" spans="1:12" x14ac:dyDescent="0.35">
      <c r="A4" s="4">
        <v>45292</v>
      </c>
      <c r="B4" s="12">
        <v>0.2053143512938379</v>
      </c>
      <c r="C4" s="12">
        <v>7.5058519310440316E-2</v>
      </c>
      <c r="D4" s="12">
        <v>7.2529456024574501E-2</v>
      </c>
      <c r="E4" s="12">
        <v>3.9169161261745189E-2</v>
      </c>
      <c r="F4" s="12">
        <v>0.2794232756347142</v>
      </c>
      <c r="G4" s="12">
        <v>3.2717122985132352E-2</v>
      </c>
      <c r="H4" s="12">
        <v>9.7662682688748857E-3</v>
      </c>
      <c r="I4" s="12" t="s">
        <v>1</v>
      </c>
      <c r="J4" s="12">
        <v>0.28602184522068064</v>
      </c>
      <c r="K4" s="13">
        <f t="shared" ref="K4:K9" si="0">G4+B4</f>
        <v>0.23803147427897026</v>
      </c>
      <c r="L4" s="13">
        <f t="shared" ref="L4:L9" si="1">SUM(C4:F4)+H4+J4</f>
        <v>0.7619685257210298</v>
      </c>
    </row>
    <row r="5" spans="1:12" x14ac:dyDescent="0.35">
      <c r="A5" s="7">
        <v>45323</v>
      </c>
      <c r="B5" s="13">
        <v>0.20820338394402735</v>
      </c>
      <c r="C5" s="13">
        <v>7.3936206843591062E-2</v>
      </c>
      <c r="D5" s="13">
        <v>7.1301588772174587E-2</v>
      </c>
      <c r="E5" s="13">
        <v>3.9022408187814786E-2</v>
      </c>
      <c r="F5" s="13">
        <v>0.28018657222948312</v>
      </c>
      <c r="G5" s="13">
        <v>3.2479090018202407E-2</v>
      </c>
      <c r="H5" s="13">
        <v>9.6256887833714982E-3</v>
      </c>
      <c r="I5" s="13" t="s">
        <v>1</v>
      </c>
      <c r="J5" s="13">
        <v>0.28524506122133519</v>
      </c>
      <c r="K5" s="13">
        <f t="shared" si="0"/>
        <v>0.24068247396222975</v>
      </c>
      <c r="L5" s="13">
        <f t="shared" si="1"/>
        <v>0.75931752603777025</v>
      </c>
    </row>
    <row r="6" spans="1:12" x14ac:dyDescent="0.35">
      <c r="A6" s="7">
        <v>45352</v>
      </c>
      <c r="B6" s="13">
        <v>0.20793208866320095</v>
      </c>
      <c r="C6" s="13">
        <v>7.3350900819557682E-2</v>
      </c>
      <c r="D6" s="13">
        <v>6.9231669036076748E-2</v>
      </c>
      <c r="E6" s="13">
        <v>3.8370529317097904E-2</v>
      </c>
      <c r="F6" s="13">
        <v>0.28061264379544437</v>
      </c>
      <c r="G6" s="13">
        <v>3.2352898303939275E-2</v>
      </c>
      <c r="H6" s="13">
        <v>9.2962954440948316E-3</v>
      </c>
      <c r="I6" s="13" t="s">
        <v>1</v>
      </c>
      <c r="J6" s="13">
        <v>0.28885297462058818</v>
      </c>
      <c r="K6" s="13">
        <f t="shared" si="0"/>
        <v>0.24028498696714023</v>
      </c>
      <c r="L6" s="13">
        <f t="shared" si="1"/>
        <v>0.75971501303285971</v>
      </c>
    </row>
    <row r="7" spans="1:12" x14ac:dyDescent="0.35">
      <c r="A7" s="7">
        <v>45383</v>
      </c>
      <c r="B7" s="13">
        <v>0.21103720917712285</v>
      </c>
      <c r="C7" s="13">
        <v>6.9380612945821055E-2</v>
      </c>
      <c r="D7" s="13">
        <v>6.8116040256745627E-2</v>
      </c>
      <c r="E7" s="13">
        <v>3.7510569150242722E-2</v>
      </c>
      <c r="F7" s="13">
        <v>0.28406577123912502</v>
      </c>
      <c r="G7" s="13">
        <v>3.4167737401500808E-2</v>
      </c>
      <c r="H7" s="13">
        <v>9.094876960430159E-3</v>
      </c>
      <c r="I7" s="13" t="s">
        <v>1</v>
      </c>
      <c r="J7" s="13">
        <v>0.28662718286901173</v>
      </c>
      <c r="K7" s="13">
        <f t="shared" si="0"/>
        <v>0.24520494657862366</v>
      </c>
      <c r="L7" s="13">
        <f t="shared" si="1"/>
        <v>0.75479505342137632</v>
      </c>
    </row>
    <row r="8" spans="1:12" x14ac:dyDescent="0.35">
      <c r="A8" s="7">
        <v>45413</v>
      </c>
      <c r="B8" s="13">
        <v>0.21025076896391781</v>
      </c>
      <c r="C8" s="13">
        <v>6.8584967174401837E-2</v>
      </c>
      <c r="D8" s="13">
        <v>6.7006140657644819E-2</v>
      </c>
      <c r="E8" s="13">
        <v>3.7397526995071428E-2</v>
      </c>
      <c r="F8" s="13">
        <v>0.28545319652321177</v>
      </c>
      <c r="G8" s="13">
        <v>3.4499546230775752E-2</v>
      </c>
      <c r="H8" s="13">
        <v>8.9304316719864829E-3</v>
      </c>
      <c r="I8" s="13" t="s">
        <v>1</v>
      </c>
      <c r="J8" s="13">
        <v>0.28787742178299008</v>
      </c>
      <c r="K8" s="13">
        <f t="shared" si="0"/>
        <v>0.24475031519469356</v>
      </c>
      <c r="L8" s="13">
        <f t="shared" si="1"/>
        <v>0.75524968480530641</v>
      </c>
    </row>
    <row r="9" spans="1:12" x14ac:dyDescent="0.35">
      <c r="A9" s="7">
        <v>45444</v>
      </c>
      <c r="B9" s="13">
        <v>0.2136058642770543</v>
      </c>
      <c r="C9" s="13">
        <v>6.8476557275369318E-2</v>
      </c>
      <c r="D9" s="13">
        <v>6.9530112962781096E-2</v>
      </c>
      <c r="E9" s="13">
        <v>3.6817899232771331E-2</v>
      </c>
      <c r="F9" s="13">
        <v>0.28579549997850867</v>
      </c>
      <c r="G9" s="13">
        <v>3.3441478373353241E-2</v>
      </c>
      <c r="H9" s="13">
        <v>8.7880951929285578E-3</v>
      </c>
      <c r="I9" s="13" t="s">
        <v>1</v>
      </c>
      <c r="J9" s="13">
        <v>0.28354449270723353</v>
      </c>
      <c r="K9" s="13">
        <f t="shared" si="0"/>
        <v>0.24704734265040754</v>
      </c>
      <c r="L9" s="13">
        <f t="shared" si="1"/>
        <v>0.75295265734959249</v>
      </c>
    </row>
    <row r="10" spans="1:12" x14ac:dyDescent="0.35">
      <c r="A10" s="7">
        <v>45474</v>
      </c>
      <c r="B10" s="13">
        <v>0.20641873370974231</v>
      </c>
      <c r="C10" s="13">
        <v>6.8628143221435942E-2</v>
      </c>
      <c r="D10" s="13">
        <v>6.8825628510604836E-2</v>
      </c>
      <c r="E10" s="13">
        <v>3.6916563133737888E-2</v>
      </c>
      <c r="F10" s="13">
        <v>0.28815376289685274</v>
      </c>
      <c r="G10" s="13">
        <v>3.3728542919508275E-2</v>
      </c>
      <c r="H10" s="13">
        <v>8.7061845465391408E-3</v>
      </c>
      <c r="I10" s="13" t="s">
        <v>1</v>
      </c>
      <c r="J10" s="13">
        <v>0.2886224410615788</v>
      </c>
      <c r="K10" s="13">
        <f t="shared" ref="K10:K15" si="2">G10+B10</f>
        <v>0.24014727662925059</v>
      </c>
      <c r="L10" s="13">
        <f>SUM(C10:F10)+H10+J10</f>
        <v>0.75985272337074927</v>
      </c>
    </row>
    <row r="11" spans="1:12" x14ac:dyDescent="0.35">
      <c r="A11" s="7">
        <v>45505</v>
      </c>
      <c r="B11" s="13">
        <v>0.20643128767110591</v>
      </c>
      <c r="C11" s="13">
        <v>6.9839405329055457E-2</v>
      </c>
      <c r="D11" s="13">
        <v>7.5569371182578948E-2</v>
      </c>
      <c r="E11" s="13">
        <v>3.7370737163604395E-2</v>
      </c>
      <c r="F11" s="13">
        <v>0.31245343232644507</v>
      </c>
      <c r="G11" s="13">
        <v>3.0884589739177119E-2</v>
      </c>
      <c r="H11" s="13">
        <v>7.2605017459866578E-3</v>
      </c>
      <c r="I11" s="13">
        <v>7.3839422891982268E-2</v>
      </c>
      <c r="J11" s="13">
        <v>0.18635125195006422</v>
      </c>
      <c r="K11" s="13">
        <f t="shared" si="2"/>
        <v>0.23731587741028304</v>
      </c>
      <c r="L11" s="13">
        <f t="shared" ref="L11:L16" si="3">SUM(C11:F11)+H11+I11+J11</f>
        <v>0.76268412258971707</v>
      </c>
    </row>
    <row r="12" spans="1:12" x14ac:dyDescent="0.35">
      <c r="A12" s="7">
        <v>45536</v>
      </c>
      <c r="B12" s="13">
        <v>0.20946021310389337</v>
      </c>
      <c r="C12" s="13">
        <v>7.054474339302054E-2</v>
      </c>
      <c r="D12" s="13">
        <v>7.4820176872701552E-2</v>
      </c>
      <c r="E12" s="13">
        <v>3.7119200536213877E-2</v>
      </c>
      <c r="F12" s="13">
        <v>0.30937729549582893</v>
      </c>
      <c r="G12" s="13">
        <v>3.0703472598644872E-2</v>
      </c>
      <c r="H12" s="13">
        <v>7.1383987737097749E-3</v>
      </c>
      <c r="I12" s="13">
        <v>7.4445103733742718E-2</v>
      </c>
      <c r="J12" s="13">
        <v>0.18639139549224437</v>
      </c>
      <c r="K12" s="13">
        <f t="shared" si="2"/>
        <v>0.24016368570253824</v>
      </c>
      <c r="L12" s="13">
        <f t="shared" si="3"/>
        <v>0.75983631429746179</v>
      </c>
    </row>
    <row r="13" spans="1:12" x14ac:dyDescent="0.35">
      <c r="A13" s="7">
        <v>45566</v>
      </c>
      <c r="B13" s="13">
        <v>0.2105130236445468</v>
      </c>
      <c r="C13" s="13">
        <v>6.9675926800963184E-2</v>
      </c>
      <c r="D13" s="13">
        <v>7.2877543125786301E-2</v>
      </c>
      <c r="E13" s="13">
        <v>3.6577677477506995E-2</v>
      </c>
      <c r="F13" s="13">
        <v>0.3100338612418117</v>
      </c>
      <c r="G13" s="13">
        <v>3.0749869329436047E-2</v>
      </c>
      <c r="H13" s="13">
        <v>7.8690350635130038E-3</v>
      </c>
      <c r="I13" s="13">
        <v>7.5855829941238892E-2</v>
      </c>
      <c r="J13" s="13">
        <v>0.18584723337519712</v>
      </c>
      <c r="K13" s="13">
        <f t="shared" si="2"/>
        <v>0.24126289297398285</v>
      </c>
      <c r="L13" s="13">
        <f t="shared" si="3"/>
        <v>0.75873710702601727</v>
      </c>
    </row>
    <row r="14" spans="1:12" x14ac:dyDescent="0.35">
      <c r="A14" s="7">
        <v>45597</v>
      </c>
      <c r="B14" s="13">
        <v>0.21444832750933279</v>
      </c>
      <c r="C14" s="13">
        <v>6.3230724177510744E-2</v>
      </c>
      <c r="D14" s="13">
        <v>7.2866061753602551E-2</v>
      </c>
      <c r="E14" s="13">
        <v>3.7193016546614853E-2</v>
      </c>
      <c r="F14" s="13">
        <v>0.31122333731612889</v>
      </c>
      <c r="G14" s="13">
        <v>3.1343851247747329E-2</v>
      </c>
      <c r="H14" s="13">
        <v>7.6446758302595027E-3</v>
      </c>
      <c r="I14" s="13">
        <v>7.6537351435170084E-2</v>
      </c>
      <c r="J14" s="13">
        <v>0.18551265418363325</v>
      </c>
      <c r="K14" s="13">
        <f t="shared" si="2"/>
        <v>0.24579217875708012</v>
      </c>
      <c r="L14" s="13">
        <f t="shared" si="3"/>
        <v>0.75420782124291985</v>
      </c>
    </row>
    <row r="15" spans="1:12" ht="15" thickBot="1" x14ac:dyDescent="0.4">
      <c r="A15" s="9">
        <v>45627</v>
      </c>
      <c r="B15" s="14">
        <v>0.20149333045008139</v>
      </c>
      <c r="C15" s="14">
        <v>7.0765637062540521E-2</v>
      </c>
      <c r="D15" s="14">
        <v>7.4008939071202762E-2</v>
      </c>
      <c r="E15" s="14">
        <v>3.6717857260611622E-2</v>
      </c>
      <c r="F15" s="14">
        <v>0.31575838784234039</v>
      </c>
      <c r="G15" s="14">
        <v>3.171086052298349E-2</v>
      </c>
      <c r="H15" s="14">
        <v>7.4493052125175511E-3</v>
      </c>
      <c r="I15" s="14">
        <v>7.6494080471839435E-2</v>
      </c>
      <c r="J15" s="14">
        <v>0.18560160210588286</v>
      </c>
      <c r="K15" s="14">
        <f t="shared" si="2"/>
        <v>0.23320419097306488</v>
      </c>
      <c r="L15" s="14">
        <f t="shared" si="3"/>
        <v>0.76679580902693512</v>
      </c>
    </row>
    <row r="16" spans="1:12" x14ac:dyDescent="0.35">
      <c r="A16" s="4">
        <v>45658</v>
      </c>
      <c r="B16" s="12">
        <v>0.20470593417960012</v>
      </c>
      <c r="C16" s="12">
        <v>6.8402388215060408E-2</v>
      </c>
      <c r="D16" s="12">
        <v>7.1865079205105389E-2</v>
      </c>
      <c r="E16" s="12">
        <v>3.6161975671830819E-2</v>
      </c>
      <c r="F16" s="12">
        <v>0.31686459106190223</v>
      </c>
      <c r="G16" s="12">
        <v>3.1725685838279179E-2</v>
      </c>
      <c r="H16" s="12">
        <v>7.197176376392939E-3</v>
      </c>
      <c r="I16" s="12">
        <v>7.7524034845069895E-2</v>
      </c>
      <c r="J16" s="12">
        <v>0.18555313460675901</v>
      </c>
      <c r="K16" s="13">
        <f t="shared" ref="K16:K22" si="4">G16+B16</f>
        <v>0.23643162001787929</v>
      </c>
      <c r="L16" s="13">
        <f t="shared" si="3"/>
        <v>0.76356837998212068</v>
      </c>
    </row>
    <row r="17" spans="1:12" x14ac:dyDescent="0.35">
      <c r="A17" s="7">
        <v>45689</v>
      </c>
      <c r="B17" s="13">
        <v>0.20451146986587748</v>
      </c>
      <c r="C17" s="13">
        <v>6.6163293077678667E-2</v>
      </c>
      <c r="D17" s="13">
        <v>7.0613632257719439E-2</v>
      </c>
      <c r="E17" s="13">
        <v>3.6070490590396631E-2</v>
      </c>
      <c r="F17" s="13">
        <v>0.31635221742782366</v>
      </c>
      <c r="G17" s="13">
        <v>3.1976708818451507E-2</v>
      </c>
      <c r="H17" s="13">
        <v>1.1290238533634847E-2</v>
      </c>
      <c r="I17" s="13">
        <v>7.8670004712778741E-2</v>
      </c>
      <c r="J17" s="13">
        <v>0.18435194471563901</v>
      </c>
      <c r="K17" s="13">
        <f t="shared" si="4"/>
        <v>0.23648817868432898</v>
      </c>
      <c r="L17" s="13">
        <f t="shared" ref="L17:L22" si="5">SUM(C17:F17)+H17+I17+J17</f>
        <v>0.76351182131567097</v>
      </c>
    </row>
    <row r="18" spans="1:12" x14ac:dyDescent="0.35">
      <c r="A18" s="7">
        <v>45717</v>
      </c>
      <c r="B18" s="13">
        <v>0.20738079395561679</v>
      </c>
      <c r="C18" s="13">
        <v>6.6696164223815649E-2</v>
      </c>
      <c r="D18" s="13">
        <v>6.9895735832687517E-2</v>
      </c>
      <c r="E18" s="13">
        <v>3.6199117982448278E-2</v>
      </c>
      <c r="F18" s="13">
        <v>0.31687722577730176</v>
      </c>
      <c r="G18" s="13">
        <v>3.1970627378987572E-2</v>
      </c>
      <c r="H18" s="13">
        <v>6.7675807864910212E-3</v>
      </c>
      <c r="I18" s="13">
        <v>8.027879701835626E-2</v>
      </c>
      <c r="J18" s="13">
        <v>0.18393395704429516</v>
      </c>
      <c r="K18" s="13">
        <f t="shared" si="4"/>
        <v>0.23935142133460435</v>
      </c>
      <c r="L18" s="13">
        <f t="shared" si="5"/>
        <v>0.7606485786653957</v>
      </c>
    </row>
    <row r="19" spans="1:12" x14ac:dyDescent="0.35">
      <c r="A19" s="7">
        <v>45748</v>
      </c>
      <c r="B19" s="13">
        <v>0.20813695260367582</v>
      </c>
      <c r="C19" s="13">
        <v>6.6126705425488791E-2</v>
      </c>
      <c r="D19" s="13">
        <v>6.7931959039065515E-2</v>
      </c>
      <c r="E19" s="13">
        <v>3.501772003035386E-2</v>
      </c>
      <c r="F19" s="13">
        <v>0.31566082232429932</v>
      </c>
      <c r="G19" s="13">
        <v>3.4249317779803619E-2</v>
      </c>
      <c r="H19" s="13">
        <v>7.6874670098430048E-3</v>
      </c>
      <c r="I19" s="13">
        <v>8.1242801610939122E-2</v>
      </c>
      <c r="J19" s="13">
        <v>0.18394625417653096</v>
      </c>
      <c r="K19" s="13">
        <f t="shared" si="4"/>
        <v>0.24238627038347943</v>
      </c>
      <c r="L19" s="13">
        <f t="shared" si="5"/>
        <v>0.75761372961652063</v>
      </c>
    </row>
    <row r="20" spans="1:12" x14ac:dyDescent="0.35">
      <c r="A20" s="7">
        <v>45778</v>
      </c>
      <c r="B20" s="13">
        <v>0.20870156103647805</v>
      </c>
      <c r="C20" s="13">
        <v>6.6825283992054937E-2</v>
      </c>
      <c r="D20" s="13">
        <v>6.7856596052455947E-2</v>
      </c>
      <c r="E20" s="13">
        <v>3.4610118514380506E-2</v>
      </c>
      <c r="F20" s="13">
        <v>0.31538740551597239</v>
      </c>
      <c r="G20" s="13">
        <v>3.5122114656636796E-2</v>
      </c>
      <c r="H20" s="13">
        <v>7.5585003975137382E-3</v>
      </c>
      <c r="I20" s="13">
        <v>8.1360251698257322E-2</v>
      </c>
      <c r="J20" s="13">
        <v>0.1825781681362503</v>
      </c>
      <c r="K20" s="13">
        <f t="shared" si="4"/>
        <v>0.24382367569311486</v>
      </c>
      <c r="L20" s="13">
        <f t="shared" si="5"/>
        <v>0.75617632430688508</v>
      </c>
    </row>
    <row r="21" spans="1:12" x14ac:dyDescent="0.35">
      <c r="A21" s="7">
        <v>45809</v>
      </c>
      <c r="B21" s="13">
        <v>0.19668977108356969</v>
      </c>
      <c r="C21" s="13">
        <v>6.9007727352289591E-2</v>
      </c>
      <c r="D21" s="13">
        <v>6.7057044043747169E-2</v>
      </c>
      <c r="E21" s="13">
        <v>3.4850160513639199E-2</v>
      </c>
      <c r="F21" s="13">
        <v>0.31827001343247324</v>
      </c>
      <c r="G21" s="13">
        <v>3.6399052833154193E-2</v>
      </c>
      <c r="H21" s="13">
        <v>1.0112878659399062E-2</v>
      </c>
      <c r="I21" s="13">
        <v>8.3683069623162493E-2</v>
      </c>
      <c r="J21" s="13">
        <v>0.18393028245856533</v>
      </c>
      <c r="K21" s="13">
        <f t="shared" si="4"/>
        <v>0.23308882391672389</v>
      </c>
      <c r="L21" s="13">
        <f t="shared" si="5"/>
        <v>0.76691117608327608</v>
      </c>
    </row>
    <row r="22" spans="1:12" x14ac:dyDescent="0.35">
      <c r="A22" s="7">
        <v>45839</v>
      </c>
      <c r="B22" s="13">
        <v>0.19777874060730108</v>
      </c>
      <c r="C22" s="13">
        <v>6.8632032695704587E-2</v>
      </c>
      <c r="D22" s="13">
        <v>6.6252698648572875E-2</v>
      </c>
      <c r="E22" s="13">
        <v>3.4283460613749789E-2</v>
      </c>
      <c r="F22" s="13">
        <v>0.31774790767117145</v>
      </c>
      <c r="G22" s="13">
        <v>3.7395504033953905E-2</v>
      </c>
      <c r="H22" s="13">
        <v>9.8806242289575501E-3</v>
      </c>
      <c r="I22" s="13">
        <v>8.4361353424830365E-2</v>
      </c>
      <c r="J22" s="13">
        <v>0.18366767807575843</v>
      </c>
      <c r="K22" s="13">
        <f t="shared" si="4"/>
        <v>0.23517424464125497</v>
      </c>
      <c r="L22" s="13">
        <f t="shared" si="5"/>
        <v>0.76482575535874497</v>
      </c>
    </row>
    <row r="23" spans="1:12" x14ac:dyDescent="0.35">
      <c r="A23" s="7">
        <v>45870</v>
      </c>
      <c r="B23" s="13">
        <v>0.19568139537384535</v>
      </c>
      <c r="C23" s="13">
        <v>6.9028873358231477E-2</v>
      </c>
      <c r="D23" s="13">
        <v>6.4790094442864002E-2</v>
      </c>
      <c r="E23" s="13">
        <v>3.4264227773416638E-2</v>
      </c>
      <c r="F23" s="13">
        <v>0.31862178830230187</v>
      </c>
      <c r="G23" s="13">
        <v>3.8185126783193302E-2</v>
      </c>
      <c r="H23" s="13">
        <v>9.6725538264148692E-3</v>
      </c>
      <c r="I23" s="13">
        <v>8.5053376994705915E-2</v>
      </c>
      <c r="J23" s="13">
        <v>0.18470256314502656</v>
      </c>
      <c r="K23" s="13">
        <f t="shared" ref="K23:K28" si="6">G23+B23</f>
        <v>0.23386652215703865</v>
      </c>
      <c r="L23" s="13">
        <f t="shared" ref="L23:L28" si="7">SUM(C23:F23)+H23+I23+J23</f>
        <v>0.76613347784296126</v>
      </c>
    </row>
    <row r="24" spans="1:12" x14ac:dyDescent="0.35">
      <c r="A24" s="7">
        <v>45901</v>
      </c>
      <c r="B24" s="13">
        <v>0.19503841353498183</v>
      </c>
      <c r="C24" s="13">
        <v>6.9751361613222512E-2</v>
      </c>
      <c r="D24" s="13">
        <v>6.2930086413016631E-2</v>
      </c>
      <c r="E24" s="13">
        <v>3.4328601059861644E-2</v>
      </c>
      <c r="F24" s="13">
        <v>0.32077724049151701</v>
      </c>
      <c r="G24" s="13">
        <v>3.91154882517755E-2</v>
      </c>
      <c r="H24" s="13">
        <v>9.3340987871714642E-3</v>
      </c>
      <c r="I24" s="13">
        <v>8.476544888303901E-2</v>
      </c>
      <c r="J24" s="13">
        <v>0.18395926096541437</v>
      </c>
      <c r="K24" s="13">
        <f t="shared" si="6"/>
        <v>0.23415390178675732</v>
      </c>
      <c r="L24" s="13">
        <f t="shared" si="7"/>
        <v>0.76584609821324268</v>
      </c>
    </row>
    <row r="25" spans="1:12" x14ac:dyDescent="0.35">
      <c r="A25" s="7">
        <v>45931</v>
      </c>
      <c r="B25" s="13">
        <v>0.19321784631089406</v>
      </c>
      <c r="C25" s="13">
        <v>7.107439150508052E-2</v>
      </c>
      <c r="D25" s="13">
        <v>6.1640212346801684E-2</v>
      </c>
      <c r="E25" s="13">
        <v>3.4578496039694546E-2</v>
      </c>
      <c r="F25" s="13">
        <v>0.32196489135443596</v>
      </c>
      <c r="G25" s="13">
        <v>3.9778130093550468E-2</v>
      </c>
      <c r="H25" s="13">
        <v>8.9684457076977687E-3</v>
      </c>
      <c r="I25" s="13">
        <v>8.3064474781447517E-2</v>
      </c>
      <c r="J25" s="13">
        <v>0.18571311186039749</v>
      </c>
      <c r="K25" s="13">
        <f t="shared" si="6"/>
        <v>0.23299597640444453</v>
      </c>
      <c r="L25" s="13">
        <f t="shared" si="7"/>
        <v>0.76700402359555553</v>
      </c>
    </row>
    <row r="26" spans="1:12" x14ac:dyDescent="0.35">
      <c r="A26" s="7">
        <v>45962</v>
      </c>
      <c r="B26" s="13">
        <v>0.19855754622852478</v>
      </c>
      <c r="C26" s="13">
        <v>7.1089553912388609E-2</v>
      </c>
      <c r="D26" s="13">
        <v>6.2261000948160707E-2</v>
      </c>
      <c r="E26" s="13">
        <v>3.3763541873400429E-2</v>
      </c>
      <c r="F26" s="13">
        <v>0.31357256396186656</v>
      </c>
      <c r="G26" s="13">
        <v>3.9647569485958344E-2</v>
      </c>
      <c r="H26" s="13">
        <v>1.7184098213145333E-2</v>
      </c>
      <c r="I26" s="13">
        <v>8.40125014264793E-2</v>
      </c>
      <c r="J26" s="13">
        <v>0.17991162395007593</v>
      </c>
      <c r="K26" s="13">
        <f t="shared" si="6"/>
        <v>0.23820511571448313</v>
      </c>
      <c r="L26" s="13">
        <f t="shared" si="7"/>
        <v>0.76179488428551689</v>
      </c>
    </row>
    <row r="27" spans="1:12" ht="15" thickBot="1" x14ac:dyDescent="0.4">
      <c r="A27" s="9">
        <v>45992</v>
      </c>
      <c r="B27" s="14">
        <v>0.19319391688730045</v>
      </c>
      <c r="C27" s="14">
        <v>7.3121936993180661E-2</v>
      </c>
      <c r="D27" s="14">
        <v>6.1414093614444679E-2</v>
      </c>
      <c r="E27" s="14">
        <v>3.4462580777990234E-2</v>
      </c>
      <c r="F27" s="14">
        <v>0.31513414413474083</v>
      </c>
      <c r="G27" s="14">
        <v>4.02481176036045E-2</v>
      </c>
      <c r="H27" s="14">
        <v>1.7700673452677701E-2</v>
      </c>
      <c r="I27" s="14">
        <v>8.3961016141696779E-2</v>
      </c>
      <c r="J27" s="14">
        <v>0.18076352039436419</v>
      </c>
      <c r="K27" s="14">
        <f t="shared" si="6"/>
        <v>0.23344203449090495</v>
      </c>
      <c r="L27" s="14">
        <f t="shared" si="7"/>
        <v>0.76655796550909505</v>
      </c>
    </row>
    <row r="28" spans="1:12" x14ac:dyDescent="0.35">
      <c r="A28" s="4">
        <v>46023</v>
      </c>
      <c r="B28" s="12">
        <v>0.19412139847409432</v>
      </c>
      <c r="C28" s="12">
        <v>7.3301169099088792E-2</v>
      </c>
      <c r="D28" s="12">
        <v>6.0603399616885399E-2</v>
      </c>
      <c r="E28" s="12">
        <v>3.446027758302192E-2</v>
      </c>
      <c r="F28" s="12">
        <v>0.31482646959287902</v>
      </c>
      <c r="G28" s="12">
        <v>4.073325907934424E-2</v>
      </c>
      <c r="H28" s="12">
        <v>1.6627257463448498E-2</v>
      </c>
      <c r="I28" s="12">
        <v>8.3905440197673514E-2</v>
      </c>
      <c r="J28" s="12">
        <v>0.18142132889356427</v>
      </c>
      <c r="K28" s="13">
        <f t="shared" si="6"/>
        <v>0.23485465755343857</v>
      </c>
      <c r="L28" s="13">
        <f t="shared" si="7"/>
        <v>0.76514534244656152</v>
      </c>
    </row>
    <row r="29" spans="1:12" x14ac:dyDescent="0.35">
      <c r="A29" s="7">
        <v>46054</v>
      </c>
      <c r="B29" s="13">
        <v>0.19475460335944678</v>
      </c>
      <c r="C29" s="13">
        <v>7.1821083171019109E-2</v>
      </c>
      <c r="D29" s="13">
        <v>5.9048183961064669E-2</v>
      </c>
      <c r="E29" s="13">
        <v>3.4575984276263481E-2</v>
      </c>
      <c r="F29" s="13">
        <v>0.3145883119258398</v>
      </c>
      <c r="G29" s="13">
        <v>4.2252116355528564E-2</v>
      </c>
      <c r="H29" s="13">
        <v>1.6209601683359005E-2</v>
      </c>
      <c r="I29" s="13">
        <v>8.477190983393218E-2</v>
      </c>
      <c r="J29" s="13">
        <v>0.18197820543354642</v>
      </c>
      <c r="K29" s="13">
        <f t="shared" ref="K29" si="8">G29+B29</f>
        <v>0.23700671971497533</v>
      </c>
      <c r="L29" s="13">
        <f t="shared" ref="L29" si="9">SUM(C29:F29)+H29+I29+J29</f>
        <v>0.76299328028502456</v>
      </c>
    </row>
    <row r="30" spans="1:12" x14ac:dyDescent="0.35">
      <c r="A30" s="7">
        <v>46082</v>
      </c>
      <c r="B30" s="13">
        <v>0.19268788947550794</v>
      </c>
      <c r="C30" s="13">
        <v>7.1171104816233316E-2</v>
      </c>
      <c r="D30" s="13">
        <v>5.8603649878155056E-2</v>
      </c>
      <c r="E30" s="13">
        <v>3.4230198824133494E-2</v>
      </c>
      <c r="F30" s="13">
        <v>0.31406378394645051</v>
      </c>
      <c r="G30" s="13">
        <v>4.3705389892036497E-2</v>
      </c>
      <c r="H30" s="13">
        <v>1.7122018574340706E-2</v>
      </c>
      <c r="I30" s="13">
        <v>8.5869009929549392E-2</v>
      </c>
      <c r="J30" s="13">
        <v>0.18254695466359308</v>
      </c>
      <c r="K30" s="13">
        <f t="shared" ref="K30" si="10">G30+B30</f>
        <v>0.23639327936754445</v>
      </c>
      <c r="L30" s="13">
        <f t="shared" ref="L30" si="11">SUM(C30:F30)+H30+I30+J30</f>
        <v>0.76360672063245549</v>
      </c>
    </row>
    <row r="31" spans="1:12" x14ac:dyDescent="0.35">
      <c r="A31" s="7">
        <v>46113</v>
      </c>
      <c r="B31" s="13">
        <v>0.19388418998048146</v>
      </c>
      <c r="C31" s="13">
        <v>7.0257575263790881E-2</v>
      </c>
      <c r="D31" s="13">
        <v>5.7328994832356886E-2</v>
      </c>
      <c r="E31" s="13">
        <v>3.3892559277118935E-2</v>
      </c>
      <c r="F31" s="13">
        <v>0.31698622668602161</v>
      </c>
      <c r="G31" s="13">
        <v>4.4335185716714527E-2</v>
      </c>
      <c r="H31" s="13">
        <v>1.5094035320277257E-2</v>
      </c>
      <c r="I31" s="13">
        <v>8.5805168349884109E-2</v>
      </c>
      <c r="J31" s="13">
        <v>0.18241606457335435</v>
      </c>
      <c r="K31" s="13">
        <f t="shared" ref="K31" si="12">G31+B31</f>
        <v>0.23821937569719598</v>
      </c>
      <c r="L31" s="13">
        <f t="shared" ref="L31" si="13">SUM(C31:F31)+H31+I31+J31</f>
        <v>0.76178062430280402</v>
      </c>
    </row>
    <row r="32" spans="1:12" x14ac:dyDescent="0.35">
      <c r="A32" s="7">
        <v>46143</v>
      </c>
      <c r="B32" s="13">
        <v>0.19525772627678645</v>
      </c>
      <c r="C32" s="13">
        <v>6.9298964028164822E-2</v>
      </c>
      <c r="D32" s="13">
        <v>5.6591387722660459E-2</v>
      </c>
      <c r="E32" s="13">
        <v>3.3599272092964788E-2</v>
      </c>
      <c r="F32" s="13">
        <v>0.3152672408958439</v>
      </c>
      <c r="G32" s="13">
        <v>4.459334672857615E-2</v>
      </c>
      <c r="H32" s="13">
        <v>1.6959905163227932E-2</v>
      </c>
      <c r="I32" s="13">
        <v>8.590941966625347E-2</v>
      </c>
      <c r="J32" s="13">
        <v>0.182522737425522</v>
      </c>
      <c r="K32" s="13">
        <f t="shared" ref="K32" si="14">G32+B32</f>
        <v>0.2398510730053626</v>
      </c>
      <c r="L32" s="13">
        <f t="shared" ref="L32" si="15">SUM(C32:F32)+H32+I32+J32</f>
        <v>0.76014892699463732</v>
      </c>
    </row>
    <row r="33" spans="1:12" x14ac:dyDescent="0.35">
      <c r="A33" s="7">
        <v>46174</v>
      </c>
      <c r="B33" s="13">
        <v>0.19473782371918277</v>
      </c>
      <c r="C33" s="13">
        <v>6.9314631942104368E-2</v>
      </c>
      <c r="D33" s="13">
        <v>5.9963840976577781E-2</v>
      </c>
      <c r="E33" s="13">
        <v>3.3210340019920744E-2</v>
      </c>
      <c r="F33" s="13">
        <v>0.31600928795462663</v>
      </c>
      <c r="G33" s="13">
        <v>4.5129125339139833E-2</v>
      </c>
      <c r="H33" s="13">
        <v>1.6382596832323851E-2</v>
      </c>
      <c r="I33" s="13">
        <v>8.3622294676303222E-2</v>
      </c>
      <c r="J33" s="13">
        <v>0.18163005853982078</v>
      </c>
      <c r="K33" s="13">
        <f t="shared" ref="K33" si="16">G33+B33</f>
        <v>0.23986694905832262</v>
      </c>
      <c r="L33" s="13">
        <f t="shared" ref="L33" si="17">SUM(C33:F33)+H33+I33+J33</f>
        <v>0.76013305094167727</v>
      </c>
    </row>
    <row r="34" spans="1:12" x14ac:dyDescent="0.35">
      <c r="A34" s="7">
        <v>46204</v>
      </c>
      <c r="B34" s="13">
        <v>0.19656150147106219</v>
      </c>
      <c r="C34" s="13">
        <v>6.8503560751622769E-2</v>
      </c>
      <c r="D34" s="13">
        <v>6.1707696074621142E-2</v>
      </c>
      <c r="E34" s="13">
        <v>3.3148400073464673E-2</v>
      </c>
      <c r="F34" s="13">
        <v>0.31673135936701829</v>
      </c>
      <c r="G34" s="13">
        <v>4.6350816376656168E-2</v>
      </c>
      <c r="H34" s="13">
        <v>1.132397127229169E-2</v>
      </c>
      <c r="I34" s="13">
        <v>8.4651352093212562E-2</v>
      </c>
      <c r="J34" s="13">
        <v>0.1810213425200505</v>
      </c>
      <c r="K34" s="13">
        <v>0.24291231784771836</v>
      </c>
      <c r="L34" s="13">
        <v>0.75708768215228173</v>
      </c>
    </row>
    <row r="35" spans="1:12" x14ac:dyDescent="0.35">
      <c r="A35" s="7">
        <v>46235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x14ac:dyDescent="0.35">
      <c r="A36" s="7">
        <v>46266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x14ac:dyDescent="0.35">
      <c r="A37" s="7">
        <v>46296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35">
      <c r="A38" s="7">
        <v>46327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5" thickBot="1" x14ac:dyDescent="0.4">
      <c r="A39" s="9">
        <v>46357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</sheetData>
  <mergeCells count="1">
    <mergeCell ref="A2:L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BEFB-BE82-4D8F-8D82-695341C386F4}">
  <dimension ref="A1:N40"/>
  <sheetViews>
    <sheetView zoomScale="90" zoomScaleNormal="90" workbookViewId="0">
      <pane xSplit="1" ySplit="4" topLeftCell="B29" activePane="bottomRight" state="frozen"/>
      <selection activeCell="F93" sqref="F93"/>
      <selection pane="topRight" activeCell="F93" sqref="F93"/>
      <selection pane="bottomLeft" activeCell="F93" sqref="F93"/>
      <selection pane="bottomRight" activeCell="B39" sqref="B39"/>
    </sheetView>
  </sheetViews>
  <sheetFormatPr defaultColWidth="9.1796875" defaultRowHeight="14.5" x14ac:dyDescent="0.35"/>
  <cols>
    <col min="1" max="7" width="16.26953125" style="1" customWidth="1"/>
    <col min="8" max="16384" width="9.1796875" style="1"/>
  </cols>
  <sheetData>
    <row r="1" spans="1:14" ht="45.5" customHeight="1" x14ac:dyDescent="0.35"/>
    <row r="2" spans="1:14" ht="15" customHeight="1" x14ac:dyDescent="0.35">
      <c r="A2" s="31" t="s">
        <v>6</v>
      </c>
      <c r="B2" s="31"/>
      <c r="C2" s="31"/>
      <c r="D2" s="31"/>
      <c r="E2" s="31"/>
      <c r="F2" s="31"/>
      <c r="G2" s="31"/>
    </row>
    <row r="3" spans="1:14" ht="15" thickBot="1" x14ac:dyDescent="0.4">
      <c r="A3" s="32" t="s">
        <v>27</v>
      </c>
      <c r="B3" s="32"/>
      <c r="C3" s="32"/>
      <c r="D3" s="32"/>
      <c r="E3" s="32"/>
      <c r="F3" s="32"/>
      <c r="G3" s="32"/>
    </row>
    <row r="4" spans="1:14" ht="51" customHeight="1" thickBot="1" x14ac:dyDescent="0.4">
      <c r="A4" s="2" t="s">
        <v>0</v>
      </c>
      <c r="B4" s="3" t="s">
        <v>8</v>
      </c>
      <c r="C4" s="3" t="s">
        <v>2</v>
      </c>
      <c r="D4" s="3" t="s">
        <v>3</v>
      </c>
      <c r="E4" s="3" t="s">
        <v>7</v>
      </c>
      <c r="F4" s="3" t="s">
        <v>5</v>
      </c>
      <c r="G4" s="3" t="s">
        <v>4</v>
      </c>
    </row>
    <row r="5" spans="1:14" x14ac:dyDescent="0.35">
      <c r="A5" s="4">
        <v>45292</v>
      </c>
      <c r="B5" s="16">
        <f>'Micro e Pequenas'!B5+Médias!B5</f>
        <v>6.3149239999999995</v>
      </c>
      <c r="C5" s="8">
        <f>'Micro e Pequenas'!C5+Médias!C5</f>
        <v>43.690007000000001</v>
      </c>
      <c r="D5" s="8">
        <f>'Micro e Pequenas'!D5+Médias!D5</f>
        <v>114.235992858619</v>
      </c>
      <c r="E5" s="8">
        <f t="shared" ref="E5:E9" si="0">C5/B5</f>
        <v>6.9185325112384577</v>
      </c>
      <c r="F5" s="18">
        <f t="shared" ref="F5:F9" si="1">1000*D5/B5</f>
        <v>18089.844447632149</v>
      </c>
      <c r="G5" s="18">
        <f t="shared" ref="G5:G9" si="2">F5/E5</f>
        <v>2614.6938557052413</v>
      </c>
    </row>
    <row r="6" spans="1:14" x14ac:dyDescent="0.35">
      <c r="A6" s="7">
        <v>45323</v>
      </c>
      <c r="B6" s="16">
        <f>'Micro e Pequenas'!B6+Médias!B6</f>
        <v>6.2993799999999993</v>
      </c>
      <c r="C6" s="8">
        <f>'Micro e Pequenas'!C6+Médias!C6</f>
        <v>43.801810000000003</v>
      </c>
      <c r="D6" s="8">
        <f>'Micro e Pequenas'!D6+Médias!D6</f>
        <v>116.3185796075</v>
      </c>
      <c r="E6" s="8">
        <f t="shared" si="0"/>
        <v>6.9533525521559278</v>
      </c>
      <c r="F6" s="18">
        <f t="shared" si="1"/>
        <v>18465.083803088561</v>
      </c>
      <c r="G6" s="18">
        <f t="shared" si="2"/>
        <v>2655.5655943784059</v>
      </c>
      <c r="H6" s="6"/>
      <c r="I6" s="6"/>
      <c r="J6" s="6"/>
      <c r="K6" s="6"/>
      <c r="L6" s="6"/>
      <c r="M6" s="6"/>
      <c r="N6" s="6"/>
    </row>
    <row r="7" spans="1:14" x14ac:dyDescent="0.35">
      <c r="A7" s="7">
        <v>45352</v>
      </c>
      <c r="B7" s="16">
        <f>'Micro e Pequenas'!B7+Médias!B7</f>
        <v>6.3223529999999997</v>
      </c>
      <c r="C7" s="8">
        <f>'Micro e Pequenas'!C7+Médias!C7</f>
        <v>44.491119000000005</v>
      </c>
      <c r="D7" s="8">
        <f>'Micro e Pequenas'!D7+Médias!D7</f>
        <v>119.93361250518899</v>
      </c>
      <c r="E7" s="8">
        <f t="shared" si="0"/>
        <v>7.0371140301719954</v>
      </c>
      <c r="F7" s="18">
        <f t="shared" si="1"/>
        <v>18969.774782456625</v>
      </c>
      <c r="G7" s="18">
        <f t="shared" si="2"/>
        <v>2695.6753437734164</v>
      </c>
    </row>
    <row r="8" spans="1:14" x14ac:dyDescent="0.35">
      <c r="A8" s="7">
        <v>45383</v>
      </c>
      <c r="B8" s="16">
        <f>'Micro e Pequenas'!B8+Médias!B8</f>
        <v>6.3880120000000007</v>
      </c>
      <c r="C8" s="8">
        <f>'Micro e Pequenas'!C8+Médias!C8</f>
        <v>45.116022999999998</v>
      </c>
      <c r="D8" s="8">
        <f>'Micro e Pequenas'!D8+Médias!D8</f>
        <v>123.871200722279</v>
      </c>
      <c r="E8" s="8">
        <f t="shared" si="0"/>
        <v>7.0626077408746246</v>
      </c>
      <c r="F8" s="18">
        <f t="shared" si="1"/>
        <v>19391.197249203506</v>
      </c>
      <c r="G8" s="18">
        <f t="shared" si="2"/>
        <v>2745.6143623802791</v>
      </c>
    </row>
    <row r="9" spans="1:14" x14ac:dyDescent="0.35">
      <c r="A9" s="7">
        <v>45413</v>
      </c>
      <c r="B9" s="16">
        <f>'Micro e Pequenas'!B9+Médias!B9</f>
        <v>6.5132650000000005</v>
      </c>
      <c r="C9" s="8">
        <f>'Micro e Pequenas'!C9+Médias!C9</f>
        <v>46.027343999999999</v>
      </c>
      <c r="D9" s="8">
        <f>'Micro e Pequenas'!D9+Médias!D9</f>
        <v>129.04270548119899</v>
      </c>
      <c r="E9" s="8">
        <f t="shared" si="0"/>
        <v>7.0667083252408736</v>
      </c>
      <c r="F9" s="18">
        <f t="shared" si="1"/>
        <v>19812.291605085771</v>
      </c>
      <c r="G9" s="18">
        <f t="shared" si="2"/>
        <v>2803.6096430243506</v>
      </c>
    </row>
    <row r="10" spans="1:14" x14ac:dyDescent="0.35">
      <c r="A10" s="7">
        <v>45444</v>
      </c>
      <c r="B10" s="16">
        <f>'Micro e Pequenas'!B10+Médias!B10</f>
        <v>6.5584899999999999</v>
      </c>
      <c r="C10" s="8">
        <f>'Micro e Pequenas'!C10+Médias!C10</f>
        <v>46.205230999999998</v>
      </c>
      <c r="D10" s="8">
        <f>'Micro e Pequenas'!D10+Médias!D10</f>
        <v>131.21267886920899</v>
      </c>
      <c r="E10" s="8">
        <f t="shared" ref="E10:E15" si="3">C10/B10</f>
        <v>7.0451019975634637</v>
      </c>
      <c r="F10" s="18">
        <f t="shared" ref="F10:F15" si="4">1000*D10/B10</f>
        <v>20006.537917906255</v>
      </c>
      <c r="G10" s="18">
        <f t="shared" ref="G10:G15" si="5">F10/E10</f>
        <v>2839.7797398569219</v>
      </c>
    </row>
    <row r="11" spans="1:14" x14ac:dyDescent="0.35">
      <c r="A11" s="7">
        <v>45474</v>
      </c>
      <c r="B11" s="16">
        <f>'Micro e Pequenas'!B11+Médias!B11</f>
        <v>6.5472399999999995</v>
      </c>
      <c r="C11" s="8">
        <f>'Micro e Pequenas'!C11+Médias!C11</f>
        <v>46.122844999999998</v>
      </c>
      <c r="D11" s="8">
        <f>'Micro e Pequenas'!D11+Médias!D11</f>
        <v>131.99045729781901</v>
      </c>
      <c r="E11" s="8">
        <f t="shared" si="3"/>
        <v>7.0446241469687996</v>
      </c>
      <c r="F11" s="18">
        <f t="shared" si="4"/>
        <v>20159.709633039114</v>
      </c>
      <c r="G11" s="18">
        <f t="shared" si="5"/>
        <v>2861.7154318606972</v>
      </c>
    </row>
    <row r="12" spans="1:14" x14ac:dyDescent="0.35">
      <c r="A12" s="7">
        <v>45505</v>
      </c>
      <c r="B12" s="16">
        <f>'Micro e Pequenas'!B12+Médias!B12</f>
        <v>6.5231539999999999</v>
      </c>
      <c r="C12" s="8">
        <f>'Micro e Pequenas'!C12+Médias!C12</f>
        <v>46.320533000000005</v>
      </c>
      <c r="D12" s="8">
        <f>'Micro e Pequenas'!D12+Médias!D12</f>
        <v>133.86163937821902</v>
      </c>
      <c r="E12" s="8">
        <f t="shared" si="3"/>
        <v>7.1009412011428834</v>
      </c>
      <c r="F12" s="18">
        <f t="shared" si="4"/>
        <v>20520.999408908487</v>
      </c>
      <c r="G12" s="18">
        <f t="shared" si="5"/>
        <v>2889.8985117079505</v>
      </c>
    </row>
    <row r="13" spans="1:14" x14ac:dyDescent="0.35">
      <c r="A13" s="7">
        <v>45536</v>
      </c>
      <c r="B13" s="16">
        <f>'Micro e Pequenas'!B13+Médias!B13</f>
        <v>6.5540799999999999</v>
      </c>
      <c r="C13" s="8">
        <f>'Micro e Pequenas'!C13+Médias!C13</f>
        <v>46.785088999999999</v>
      </c>
      <c r="D13" s="8">
        <f>'Micro e Pequenas'!D13+Médias!D13</f>
        <v>136.39811551465903</v>
      </c>
      <c r="E13" s="8">
        <f t="shared" si="3"/>
        <v>7.1383152173913045</v>
      </c>
      <c r="F13" s="18">
        <f t="shared" si="4"/>
        <v>20811.176475517394</v>
      </c>
      <c r="G13" s="18">
        <f t="shared" si="5"/>
        <v>2915.4185324871141</v>
      </c>
      <c r="H13" s="24"/>
    </row>
    <row r="14" spans="1:14" x14ac:dyDescent="0.35">
      <c r="A14" s="7">
        <v>45566</v>
      </c>
      <c r="B14" s="16">
        <f>'Micro e Pequenas'!B14+Médias!B14</f>
        <v>6.6102619999999996</v>
      </c>
      <c r="C14" s="8">
        <f>'Micro e Pequenas'!C14+Médias!C14</f>
        <v>47.479362999999999</v>
      </c>
      <c r="D14" s="8">
        <f>'Micro e Pequenas'!D14+Médias!D14</f>
        <v>140.358329910039</v>
      </c>
      <c r="E14" s="8">
        <f t="shared" si="3"/>
        <v>7.1826749075906529</v>
      </c>
      <c r="F14" s="18">
        <f t="shared" si="4"/>
        <v>21233.398904618152</v>
      </c>
      <c r="G14" s="18">
        <f t="shared" si="5"/>
        <v>2956.1965671283119</v>
      </c>
    </row>
    <row r="15" spans="1:14" x14ac:dyDescent="0.35">
      <c r="A15" s="7">
        <v>45597</v>
      </c>
      <c r="B15" s="16">
        <f>'Micro e Pequenas'!B15+Médias!B15</f>
        <v>6.605747</v>
      </c>
      <c r="C15" s="8">
        <f>'Micro e Pequenas'!C15+Médias!C15</f>
        <v>46.642103999999996</v>
      </c>
      <c r="D15" s="8">
        <f>'Micro e Pequenas'!D15+Médias!D15</f>
        <v>137.93676313500902</v>
      </c>
      <c r="E15" s="8">
        <f t="shared" si="3"/>
        <v>7.0608371770823188</v>
      </c>
      <c r="F15" s="18">
        <f t="shared" si="4"/>
        <v>20881.32699224009</v>
      </c>
      <c r="G15" s="18">
        <f t="shared" si="5"/>
        <v>2957.3443585437099</v>
      </c>
    </row>
    <row r="16" spans="1:14" ht="15" thickBot="1" x14ac:dyDescent="0.4">
      <c r="A16" s="9">
        <v>45627</v>
      </c>
      <c r="B16" s="17">
        <f>'Micro e Pequenas'!B16+Médias!B16</f>
        <v>6.5871520000000006</v>
      </c>
      <c r="C16" s="10">
        <f>'Micro e Pequenas'!C16+Médias!C16</f>
        <v>46.288729000000004</v>
      </c>
      <c r="D16" s="10">
        <f>'Micro e Pequenas'!D16+Médias!D16</f>
        <v>134.802998717208</v>
      </c>
      <c r="E16" s="10">
        <f t="shared" ref="E16:E22" si="6">C16/B16</f>
        <v>7.027123254480844</v>
      </c>
      <c r="F16" s="20">
        <f t="shared" ref="F16:F22" si="7">1000*D16/B16</f>
        <v>20464.534402304362</v>
      </c>
      <c r="G16" s="20">
        <f t="shared" ref="G16:G22" si="8">F16/E16</f>
        <v>2912.2207852630386</v>
      </c>
    </row>
    <row r="17" spans="1:14" x14ac:dyDescent="0.35">
      <c r="A17" s="4">
        <v>45658</v>
      </c>
      <c r="B17" s="16">
        <f>'Micro e Pequenas'!B17+Médias!B17</f>
        <v>6.6898090000000003</v>
      </c>
      <c r="C17" s="8">
        <f>'Micro e Pequenas'!C17+Médias!C17</f>
        <v>46.656648000000004</v>
      </c>
      <c r="D17" s="8">
        <f>'Micro e Pequenas'!D17+Médias!D17</f>
        <v>138.90705987493001</v>
      </c>
      <c r="E17" s="8">
        <f t="shared" si="6"/>
        <v>6.9742870087920297</v>
      </c>
      <c r="F17" s="18">
        <f t="shared" si="7"/>
        <v>20763.979939476598</v>
      </c>
      <c r="G17" s="18">
        <f t="shared" si="8"/>
        <v>2977.2190208548632</v>
      </c>
    </row>
    <row r="18" spans="1:14" x14ac:dyDescent="0.35">
      <c r="A18" s="7">
        <v>45689</v>
      </c>
      <c r="B18" s="16">
        <f>'Micro e Pequenas'!B18+Médias!B18</f>
        <v>6.8205160000000005</v>
      </c>
      <c r="C18" s="8">
        <f>'Micro e Pequenas'!C18+Médias!C18</f>
        <v>48.153683999999998</v>
      </c>
      <c r="D18" s="8">
        <f>'Micro e Pequenas'!D18+Médias!D18</f>
        <v>147.38307548393999</v>
      </c>
      <c r="E18" s="8">
        <f t="shared" si="6"/>
        <v>7.0601233103184562</v>
      </c>
      <c r="F18" s="18">
        <f t="shared" si="7"/>
        <v>21608.78670821093</v>
      </c>
      <c r="G18" s="18">
        <f t="shared" si="8"/>
        <v>3060.6812032063835</v>
      </c>
      <c r="H18" s="6"/>
      <c r="I18" s="6"/>
      <c r="J18" s="6"/>
      <c r="K18" s="6"/>
      <c r="L18" s="6"/>
      <c r="M18" s="6"/>
      <c r="N18" s="6"/>
    </row>
    <row r="19" spans="1:14" x14ac:dyDescent="0.35">
      <c r="A19" s="7">
        <v>45717</v>
      </c>
      <c r="B19" s="16">
        <f>'Micro e Pequenas'!B19+Médias!B19</f>
        <v>6.9613579999999997</v>
      </c>
      <c r="C19" s="8">
        <f>'Micro e Pequenas'!C19+Médias!C19</f>
        <v>49.196736000000001</v>
      </c>
      <c r="D19" s="8">
        <f>'Micro e Pequenas'!D19+Médias!D19</f>
        <v>152.46615964829002</v>
      </c>
      <c r="E19" s="8">
        <f t="shared" si="6"/>
        <v>7.0671176514697285</v>
      </c>
      <c r="F19" s="18">
        <f t="shared" si="7"/>
        <v>21901.78405539408</v>
      </c>
      <c r="G19" s="18">
        <f t="shared" si="8"/>
        <v>3099.1112834861647</v>
      </c>
    </row>
    <row r="20" spans="1:14" x14ac:dyDescent="0.35">
      <c r="A20" s="7">
        <v>45748</v>
      </c>
      <c r="B20" s="16">
        <f>'Micro e Pequenas'!B20+Médias!B20</f>
        <v>7.1585640000000001</v>
      </c>
      <c r="C20" s="8">
        <f>'Micro e Pequenas'!C20+Médias!C20</f>
        <v>50.600961999999996</v>
      </c>
      <c r="D20" s="8">
        <f>'Micro e Pequenas'!D20+Médias!D20</f>
        <v>159.01633440399999</v>
      </c>
      <c r="E20" s="8">
        <f t="shared" si="6"/>
        <v>7.0685911308469125</v>
      </c>
      <c r="F20" s="18">
        <f t="shared" si="7"/>
        <v>22213.440349768473</v>
      </c>
      <c r="G20" s="18">
        <f t="shared" si="8"/>
        <v>3142.5555586077594</v>
      </c>
    </row>
    <row r="21" spans="1:14" x14ac:dyDescent="0.35">
      <c r="A21" s="7">
        <v>45778</v>
      </c>
      <c r="B21" s="16">
        <f>'Micro e Pequenas'!B21+Médias!B21</f>
        <v>7.305911</v>
      </c>
      <c r="C21" s="8">
        <f>'Micro e Pequenas'!C21+Médias!C21</f>
        <v>51.731482999999997</v>
      </c>
      <c r="D21" s="8">
        <f>'Micro e Pequenas'!D21+Médias!D21</f>
        <v>164.138590542</v>
      </c>
      <c r="E21" s="8">
        <f t="shared" si="6"/>
        <v>7.0807710359460989</v>
      </c>
      <c r="F21" s="18">
        <f t="shared" si="7"/>
        <v>22466.546682816144</v>
      </c>
      <c r="G21" s="18">
        <f t="shared" si="8"/>
        <v>3172.8955178416204</v>
      </c>
    </row>
    <row r="22" spans="1:14" x14ac:dyDescent="0.35">
      <c r="A22" s="7">
        <v>45809</v>
      </c>
      <c r="B22" s="16">
        <f>'Micro e Pequenas'!B22+Médias!B22</f>
        <v>7.4135340000000003</v>
      </c>
      <c r="C22" s="8">
        <f>'Micro e Pequenas'!C22+Médias!C22</f>
        <v>52.886429999999997</v>
      </c>
      <c r="D22" s="8">
        <f>'Micro e Pequenas'!D22+Médias!D22</f>
        <v>169.22618760899999</v>
      </c>
      <c r="E22" s="8">
        <f t="shared" si="6"/>
        <v>7.1337677820051804</v>
      </c>
      <c r="F22" s="18">
        <f t="shared" si="7"/>
        <v>22826.65562861113</v>
      </c>
      <c r="G22" s="18">
        <f t="shared" si="8"/>
        <v>3199.8035717101725</v>
      </c>
    </row>
    <row r="23" spans="1:14" x14ac:dyDescent="0.35">
      <c r="A23" s="7">
        <v>45839</v>
      </c>
      <c r="B23" s="16">
        <f>'Micro e Pequenas'!B23+Médias!B23</f>
        <v>7.6171069999999999</v>
      </c>
      <c r="C23" s="8">
        <f>'Micro e Pequenas'!C23+Médias!C23</f>
        <v>54.028229999999994</v>
      </c>
      <c r="D23" s="8">
        <f>'Micro e Pequenas'!D23+Médias!D23</f>
        <v>174.05414102500001</v>
      </c>
      <c r="E23" s="8">
        <f t="shared" ref="E23:E28" si="9">C23/B23</f>
        <v>7.0930118219423717</v>
      </c>
      <c r="F23" s="18">
        <f t="shared" ref="F23:F28" si="10">1000*D23/B23</f>
        <v>22850.426155888323</v>
      </c>
      <c r="G23" s="18">
        <f t="shared" ref="G23:G28" si="11">F23/E23</f>
        <v>3221.5406839165389</v>
      </c>
    </row>
    <row r="24" spans="1:14" x14ac:dyDescent="0.35">
      <c r="A24" s="7">
        <v>45870</v>
      </c>
      <c r="B24" s="16">
        <f>'Micro e Pequenas'!B24+Médias!B24</f>
        <v>7.729012</v>
      </c>
      <c r="C24" s="8">
        <f>'Micro e Pequenas'!C24+Médias!C24</f>
        <v>55.191217999999999</v>
      </c>
      <c r="D24" s="8">
        <f>'Micro e Pequenas'!D24+Médias!D24</f>
        <v>179.77193511000002</v>
      </c>
      <c r="E24" s="8">
        <f t="shared" si="9"/>
        <v>7.1407856528104752</v>
      </c>
      <c r="F24" s="18">
        <f t="shared" si="10"/>
        <v>23259.36809387798</v>
      </c>
      <c r="G24" s="18">
        <f t="shared" si="11"/>
        <v>3257.256165464586</v>
      </c>
    </row>
    <row r="25" spans="1:14" x14ac:dyDescent="0.35">
      <c r="A25" s="7">
        <v>45901</v>
      </c>
      <c r="B25" s="16">
        <f>'Micro e Pequenas'!B25+Médias!B25</f>
        <v>7.9908049999999999</v>
      </c>
      <c r="C25" s="8">
        <f>'Micro e Pequenas'!C25+Médias!C25</f>
        <v>55.879262999999995</v>
      </c>
      <c r="D25" s="8">
        <f>'Micro e Pequenas'!D25+Médias!D25</f>
        <v>181.65821379500002</v>
      </c>
      <c r="E25" s="8">
        <f t="shared" si="9"/>
        <v>6.9929453916094806</v>
      </c>
      <c r="F25" s="18">
        <f t="shared" si="10"/>
        <v>22733.405932819038</v>
      </c>
      <c r="G25" s="18">
        <f t="shared" si="11"/>
        <v>3250.9056856208008</v>
      </c>
      <c r="H25" s="24"/>
    </row>
    <row r="26" spans="1:14" x14ac:dyDescent="0.35">
      <c r="A26" s="7">
        <v>45931</v>
      </c>
      <c r="B26" s="16">
        <f>'Micro e Pequenas'!B26+Médias!B26</f>
        <v>8.2594639999999995</v>
      </c>
      <c r="C26" s="8">
        <f>'Micro e Pequenas'!C26+Médias!C26</f>
        <v>56.792307999999998</v>
      </c>
      <c r="D26" s="8">
        <f>'Micro e Pequenas'!D26+Médias!D26</f>
        <v>184.566517893</v>
      </c>
      <c r="E26" s="8">
        <f t="shared" si="9"/>
        <v>6.8760282749582782</v>
      </c>
      <c r="F26" s="18">
        <f t="shared" si="10"/>
        <v>22346.064816433613</v>
      </c>
      <c r="G26" s="18">
        <f t="shared" si="11"/>
        <v>3249.8506292964889</v>
      </c>
    </row>
    <row r="27" spans="1:14" x14ac:dyDescent="0.35">
      <c r="A27" s="7">
        <v>45962</v>
      </c>
      <c r="B27" s="16">
        <f>'Micro e Pequenas'!B27+Médias!B27</f>
        <v>8.4632629999999995</v>
      </c>
      <c r="C27" s="8">
        <f>'Micro e Pequenas'!C27+Médias!C27</f>
        <v>57.716688000000005</v>
      </c>
      <c r="D27" s="8">
        <f>'Micro e Pequenas'!D27+Médias!D27</f>
        <v>190.288586098</v>
      </c>
      <c r="E27" s="8">
        <f t="shared" si="9"/>
        <v>6.8196732158743041</v>
      </c>
      <c r="F27" s="18">
        <f t="shared" si="10"/>
        <v>22484.068626722343</v>
      </c>
      <c r="G27" s="18">
        <f t="shared" si="11"/>
        <v>3296.9422309540696</v>
      </c>
    </row>
    <row r="28" spans="1:14" ht="15" thickBot="1" x14ac:dyDescent="0.4">
      <c r="A28" s="9">
        <v>45992</v>
      </c>
      <c r="B28" s="17">
        <f>'Micro e Pequenas'!B28+Médias!B28</f>
        <v>8.5367619999999995</v>
      </c>
      <c r="C28" s="10">
        <f>'Micro e Pequenas'!C28+Médias!C28</f>
        <v>58.103461000000003</v>
      </c>
      <c r="D28" s="10">
        <f>'Micro e Pequenas'!D28+Médias!D28</f>
        <v>191.70302566300001</v>
      </c>
      <c r="E28" s="10">
        <f t="shared" si="9"/>
        <v>6.8062646000907607</v>
      </c>
      <c r="F28" s="20">
        <f t="shared" si="10"/>
        <v>22456.175498742967</v>
      </c>
      <c r="G28" s="20">
        <f t="shared" si="11"/>
        <v>3299.3391850272051</v>
      </c>
    </row>
    <row r="29" spans="1:14" x14ac:dyDescent="0.35">
      <c r="A29" s="4">
        <v>46023</v>
      </c>
      <c r="B29" s="16">
        <f>'Micro e Pequenas'!B29+Médias!B29</f>
        <v>8.3248869999999986</v>
      </c>
      <c r="C29" s="8">
        <f>'Micro e Pequenas'!C29+Médias!C29</f>
        <v>55.527501000000001</v>
      </c>
      <c r="D29" s="8">
        <f>'Micro e Pequenas'!D29+Médias!D29</f>
        <v>181.88096788500002</v>
      </c>
      <c r="E29" s="8">
        <f t="shared" ref="E29:E30" si="12">C29/B29</f>
        <v>6.6700606266487474</v>
      </c>
      <c r="F29" s="18">
        <f t="shared" ref="F29:F30" si="13">1000*D29/B29</f>
        <v>21847.860263448627</v>
      </c>
      <c r="G29" s="18">
        <f t="shared" ref="G29:G30" si="14">F29/E29</f>
        <v>3275.5114962764128</v>
      </c>
    </row>
    <row r="30" spans="1:14" x14ac:dyDescent="0.35">
      <c r="A30" s="7">
        <v>46054</v>
      </c>
      <c r="B30" s="16">
        <f>'Micro e Pequenas'!B30+Médias!B30</f>
        <v>8.419098</v>
      </c>
      <c r="C30" s="8">
        <f>'Micro e Pequenas'!C30+Médias!C30</f>
        <v>56.087388000000004</v>
      </c>
      <c r="D30" s="8">
        <f>'Micro e Pequenas'!D30+Médias!D30</f>
        <v>184.59041463</v>
      </c>
      <c r="E30" s="8">
        <f t="shared" si="12"/>
        <v>6.6619236407510645</v>
      </c>
      <c r="F30" s="18">
        <f t="shared" si="13"/>
        <v>21925.200850494908</v>
      </c>
      <c r="G30" s="18">
        <f t="shared" si="14"/>
        <v>3291.1216088365527</v>
      </c>
      <c r="H30" s="6"/>
      <c r="I30" s="6"/>
      <c r="J30" s="6"/>
      <c r="K30" s="6"/>
      <c r="L30" s="6"/>
      <c r="M30" s="6"/>
      <c r="N30" s="6"/>
    </row>
    <row r="31" spans="1:14" x14ac:dyDescent="0.35">
      <c r="A31" s="7">
        <v>46082</v>
      </c>
      <c r="B31" s="16">
        <f>'Micro e Pequenas'!B31+Médias!B31</f>
        <v>8.4754769999999997</v>
      </c>
      <c r="C31" s="8">
        <f>'Micro e Pequenas'!C31+Médias!C31</f>
        <v>57.325449999999996</v>
      </c>
      <c r="D31" s="8">
        <f>'Micro e Pequenas'!D31+Médias!D31</f>
        <v>192.05440524000002</v>
      </c>
      <c r="E31" s="8">
        <f t="shared" ref="E31" si="15">C31/B31</f>
        <v>6.7636842150595182</v>
      </c>
      <c r="F31" s="18">
        <f t="shared" ref="F31" si="16">1000*D31/B31</f>
        <v>22660.011376350856</v>
      </c>
      <c r="G31" s="18">
        <f t="shared" ref="G31" si="17">F31/E31</f>
        <v>3350.2467968415431</v>
      </c>
    </row>
    <row r="32" spans="1:14" x14ac:dyDescent="0.35">
      <c r="A32" s="7">
        <v>46113</v>
      </c>
      <c r="B32" s="16">
        <f>'Micro e Pequenas'!B32+Médias!B32</f>
        <v>8.5576479999999986</v>
      </c>
      <c r="C32" s="8">
        <f>'Micro e Pequenas'!C32+Médias!C32</f>
        <v>58.782353999999998</v>
      </c>
      <c r="D32" s="8">
        <f>'Micro e Pequenas'!D32+Médias!D32</f>
        <v>199.206701469</v>
      </c>
      <c r="E32" s="8">
        <f t="shared" ref="E32" si="18">C32/B32</f>
        <v>6.8689847958224046</v>
      </c>
      <c r="F32" s="18">
        <f t="shared" ref="F32" si="19">1000*D32/B32</f>
        <v>23278.206987363821</v>
      </c>
      <c r="G32" s="18">
        <f t="shared" ref="G32" si="20">F32/E32</f>
        <v>3388.8860842320128</v>
      </c>
    </row>
    <row r="33" spans="1:8" x14ac:dyDescent="0.35">
      <c r="A33" s="7">
        <v>46143</v>
      </c>
      <c r="B33" s="16">
        <f>'Micro e Pequenas'!B33+Médias!B33</f>
        <v>8.6144280000000002</v>
      </c>
      <c r="C33" s="8">
        <f>'Micro e Pequenas'!C33+Médias!C33</f>
        <v>60.303057000000003</v>
      </c>
      <c r="D33" s="8">
        <f>'Micro e Pequenas'!D33+Médias!D33</f>
        <v>207.069468005</v>
      </c>
      <c r="E33" s="8">
        <f t="shared" ref="E33" si="21">C33/B33</f>
        <v>7.0002392497795558</v>
      </c>
      <c r="F33" s="18">
        <f t="shared" ref="F33" si="22">1000*D33/B33</f>
        <v>24037.517987845506</v>
      </c>
      <c r="G33" s="18">
        <f t="shared" ref="G33" si="23">F33/E33</f>
        <v>3433.8137783794277</v>
      </c>
    </row>
    <row r="34" spans="1:8" x14ac:dyDescent="0.35">
      <c r="A34" s="7">
        <v>46174</v>
      </c>
      <c r="B34" s="16">
        <f>'Micro e Pequenas'!B34+Médias!B34</f>
        <v>8.7222760000000008</v>
      </c>
      <c r="C34" s="8">
        <f>'Micro e Pequenas'!C34+Médias!C34</f>
        <v>61.047631000000003</v>
      </c>
      <c r="D34" s="8">
        <f>'Micro e Pequenas'!D34+Médias!D34</f>
        <v>209.66998849699999</v>
      </c>
      <c r="E34" s="8">
        <f t="shared" ref="E34" si="24">C34/B34</f>
        <v>6.9990482988614433</v>
      </c>
      <c r="F34" s="18">
        <f t="shared" ref="F34" si="25">1000*D34/B34</f>
        <v>24038.449195714507</v>
      </c>
      <c r="G34" s="18">
        <f t="shared" ref="G34" si="26">F34/E34</f>
        <v>3434.5311204131731</v>
      </c>
    </row>
    <row r="35" spans="1:8" x14ac:dyDescent="0.35">
      <c r="A35" s="7">
        <v>46204</v>
      </c>
      <c r="B35" s="16">
        <f>'Micro e Pequenas'!B35+Médias!B35</f>
        <v>8.7740629999999999</v>
      </c>
      <c r="C35" s="8">
        <f>'Micro e Pequenas'!C35+Médias!C35</f>
        <v>61.887905000000003</v>
      </c>
      <c r="D35" s="8">
        <f>'Micro e Pequenas'!D35+Médias!D35</f>
        <v>214.74248275400001</v>
      </c>
      <c r="E35" s="8">
        <f t="shared" ref="E35" si="27">C35/B35</f>
        <v>7.0535058843320364</v>
      </c>
      <c r="F35" s="18">
        <f t="shared" ref="F35" si="28">1000*D35/B35</f>
        <v>24474.691229593405</v>
      </c>
      <c r="G35" s="18">
        <f t="shared" ref="G35" si="29">F35/E35</f>
        <v>3469.8618858402137</v>
      </c>
    </row>
    <row r="36" spans="1:8" x14ac:dyDescent="0.35">
      <c r="A36" s="7">
        <v>46235</v>
      </c>
      <c r="B36" s="16"/>
      <c r="C36" s="8"/>
      <c r="D36" s="8"/>
      <c r="E36" s="8"/>
      <c r="F36" s="8"/>
      <c r="G36" s="8"/>
    </row>
    <row r="37" spans="1:8" x14ac:dyDescent="0.35">
      <c r="A37" s="7">
        <v>46266</v>
      </c>
      <c r="B37" s="16"/>
      <c r="C37" s="8"/>
      <c r="D37" s="8"/>
      <c r="E37" s="8"/>
      <c r="F37" s="8"/>
      <c r="G37" s="8"/>
      <c r="H37" s="24"/>
    </row>
    <row r="38" spans="1:8" x14ac:dyDescent="0.35">
      <c r="A38" s="7">
        <v>46296</v>
      </c>
      <c r="B38" s="16"/>
      <c r="C38" s="8"/>
      <c r="D38" s="8"/>
      <c r="E38" s="8"/>
      <c r="F38" s="8"/>
      <c r="G38" s="8"/>
    </row>
    <row r="39" spans="1:8" x14ac:dyDescent="0.35">
      <c r="A39" s="7">
        <v>46327</v>
      </c>
      <c r="B39" s="16"/>
      <c r="C39" s="8"/>
      <c r="D39" s="8"/>
      <c r="E39" s="8"/>
      <c r="F39" s="8"/>
      <c r="G39" s="8"/>
    </row>
    <row r="40" spans="1:8" ht="15" thickBot="1" x14ac:dyDescent="0.4">
      <c r="A40" s="9">
        <v>46357</v>
      </c>
      <c r="B40" s="17"/>
      <c r="C40" s="10"/>
      <c r="D40" s="10"/>
      <c r="E40" s="10"/>
      <c r="F40" s="10"/>
      <c r="G40" s="10"/>
    </row>
  </sheetData>
  <mergeCells count="2">
    <mergeCell ref="A2:G2"/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"/>
  <sheetViews>
    <sheetView zoomScale="90" zoomScaleNormal="90" workbookViewId="0">
      <pane xSplit="1" ySplit="4" topLeftCell="B29" activePane="bottomRight" state="frozen"/>
      <selection activeCell="B4" sqref="B4"/>
      <selection pane="topRight" activeCell="B4" sqref="B4"/>
      <selection pane="bottomLeft" activeCell="B4" sqref="B4"/>
      <selection pane="bottomRight" activeCell="B39" sqref="B39"/>
    </sheetView>
  </sheetViews>
  <sheetFormatPr defaultColWidth="9.1796875" defaultRowHeight="14.5" x14ac:dyDescent="0.35"/>
  <cols>
    <col min="1" max="7" width="16.26953125" style="1" customWidth="1"/>
    <col min="8" max="8" width="10.81640625" style="1" bestFit="1" customWidth="1"/>
    <col min="9" max="16384" width="9.1796875" style="1"/>
  </cols>
  <sheetData>
    <row r="1" spans="1:13" ht="45.5" customHeight="1" x14ac:dyDescent="0.35"/>
    <row r="2" spans="1:13" ht="15" customHeight="1" x14ac:dyDescent="0.35">
      <c r="A2" s="33" t="s">
        <v>6</v>
      </c>
      <c r="B2" s="33"/>
      <c r="C2" s="33"/>
      <c r="D2" s="33"/>
      <c r="E2" s="33"/>
      <c r="F2" s="33"/>
      <c r="G2" s="33"/>
    </row>
    <row r="3" spans="1:13" ht="15" thickBot="1" x14ac:dyDescent="0.4">
      <c r="A3" s="32" t="s">
        <v>26</v>
      </c>
      <c r="B3" s="32"/>
      <c r="C3" s="32"/>
      <c r="D3" s="32"/>
      <c r="E3" s="32"/>
      <c r="F3" s="32"/>
      <c r="G3" s="32"/>
    </row>
    <row r="4" spans="1:13" ht="51" customHeight="1" thickBot="1" x14ac:dyDescent="0.4">
      <c r="A4" s="2" t="s">
        <v>0</v>
      </c>
      <c r="B4" s="3" t="s">
        <v>8</v>
      </c>
      <c r="C4" s="3" t="s">
        <v>2</v>
      </c>
      <c r="D4" s="3" t="s">
        <v>3</v>
      </c>
      <c r="E4" s="3" t="s">
        <v>7</v>
      </c>
      <c r="F4" s="3" t="s">
        <v>5</v>
      </c>
      <c r="G4" s="3" t="s">
        <v>4</v>
      </c>
    </row>
    <row r="5" spans="1:13" x14ac:dyDescent="0.35">
      <c r="A5" s="4">
        <v>45292</v>
      </c>
      <c r="B5" s="15">
        <v>6.2870299999999997</v>
      </c>
      <c r="C5" s="5">
        <v>42.928637999999999</v>
      </c>
      <c r="D5" s="5">
        <v>109.969831188629</v>
      </c>
      <c r="E5" s="5">
        <f t="shared" ref="E5:E9" si="0">C5/B5</f>
        <v>6.8281267943687247</v>
      </c>
      <c r="F5" s="18">
        <f t="shared" ref="F5:F9" si="1">1000*D5/B5</f>
        <v>17491.539119207162</v>
      </c>
      <c r="G5" s="18">
        <f t="shared" ref="G5:G9" si="2">F5/E5</f>
        <v>2561.6892664665716</v>
      </c>
    </row>
    <row r="6" spans="1:13" x14ac:dyDescent="0.35">
      <c r="A6" s="7">
        <v>45323</v>
      </c>
      <c r="B6" s="16">
        <v>6.2711699999999997</v>
      </c>
      <c r="C6" s="8">
        <v>43.013866</v>
      </c>
      <c r="D6" s="8">
        <v>111.85708844481</v>
      </c>
      <c r="E6" s="8">
        <f t="shared" si="0"/>
        <v>6.8589858032871067</v>
      </c>
      <c r="F6" s="18">
        <f t="shared" si="1"/>
        <v>17836.717621242926</v>
      </c>
      <c r="G6" s="18">
        <f t="shared" si="2"/>
        <v>2600.489071240655</v>
      </c>
      <c r="K6" s="24"/>
      <c r="L6" s="24"/>
      <c r="M6" s="24"/>
    </row>
    <row r="7" spans="1:13" x14ac:dyDescent="0.35">
      <c r="A7" s="7">
        <v>45352</v>
      </c>
      <c r="B7" s="16">
        <v>6.2929149999999998</v>
      </c>
      <c r="C7" s="8">
        <v>43.626491000000001</v>
      </c>
      <c r="D7" s="8">
        <v>114.96714691106899</v>
      </c>
      <c r="E7" s="8">
        <f t="shared" si="0"/>
        <v>6.932636306068015</v>
      </c>
      <c r="F7" s="18">
        <f t="shared" si="1"/>
        <v>18269.299189814101</v>
      </c>
      <c r="G7" s="18">
        <f t="shared" si="2"/>
        <v>2635.260005464776</v>
      </c>
    </row>
    <row r="8" spans="1:13" x14ac:dyDescent="0.35">
      <c r="A8" s="7">
        <v>45383</v>
      </c>
      <c r="B8" s="16">
        <v>6.3583540000000003</v>
      </c>
      <c r="C8" s="8">
        <v>44.211238000000002</v>
      </c>
      <c r="D8" s="8">
        <v>118.623700614789</v>
      </c>
      <c r="E8" s="8">
        <f t="shared" si="0"/>
        <v>6.953252052339332</v>
      </c>
      <c r="F8" s="18">
        <f t="shared" si="1"/>
        <v>18656.353612080893</v>
      </c>
      <c r="G8" s="18">
        <f t="shared" si="2"/>
        <v>2683.1119412396683</v>
      </c>
    </row>
    <row r="9" spans="1:13" x14ac:dyDescent="0.35">
      <c r="A9" s="7">
        <v>45413</v>
      </c>
      <c r="B9" s="16">
        <v>6.4831050000000001</v>
      </c>
      <c r="C9" s="8">
        <v>45.072625000000002</v>
      </c>
      <c r="D9" s="8">
        <v>123.459171026509</v>
      </c>
      <c r="E9" s="8">
        <f t="shared" si="0"/>
        <v>6.9523206858442057</v>
      </c>
      <c r="F9" s="18">
        <f t="shared" si="1"/>
        <v>19043.216333301556</v>
      </c>
      <c r="G9" s="18">
        <f t="shared" si="2"/>
        <v>2739.1165042308717</v>
      </c>
    </row>
    <row r="10" spans="1:13" x14ac:dyDescent="0.35">
      <c r="A10" s="7">
        <v>45444</v>
      </c>
      <c r="B10" s="16">
        <v>6.5283340000000001</v>
      </c>
      <c r="C10" s="8">
        <v>45.262642</v>
      </c>
      <c r="D10" s="8">
        <v>125.651342119319</v>
      </c>
      <c r="E10" s="8">
        <f t="shared" ref="E10:E15" si="3">C10/B10</f>
        <v>6.9332607676016575</v>
      </c>
      <c r="F10" s="18">
        <f t="shared" ref="F10:F15" si="4">1000*D10/B10</f>
        <v>19247.076224855988</v>
      </c>
      <c r="G10" s="18">
        <f t="shared" ref="G10:G15" si="5">F10/E10</f>
        <v>2776.0496640765909</v>
      </c>
    </row>
    <row r="11" spans="1:13" x14ac:dyDescent="0.35">
      <c r="A11" s="7">
        <v>45474</v>
      </c>
      <c r="B11" s="16">
        <v>6.5169969999999999</v>
      </c>
      <c r="C11" s="8">
        <v>45.177115999999998</v>
      </c>
      <c r="D11" s="8">
        <v>126.384015868129</v>
      </c>
      <c r="E11" s="8">
        <f t="shared" si="3"/>
        <v>6.9321983729622705</v>
      </c>
      <c r="F11" s="18">
        <f t="shared" si="4"/>
        <v>19392.983588626634</v>
      </c>
      <c r="G11" s="18">
        <f t="shared" si="5"/>
        <v>2797.5228845535207</v>
      </c>
    </row>
    <row r="12" spans="1:13" x14ac:dyDescent="0.35">
      <c r="A12" s="7">
        <v>45505</v>
      </c>
      <c r="B12" s="16">
        <v>6.4927549999999998</v>
      </c>
      <c r="C12" s="8">
        <v>45.347965000000002</v>
      </c>
      <c r="D12" s="8">
        <v>128.09116611541901</v>
      </c>
      <c r="E12" s="8">
        <f t="shared" si="3"/>
        <v>6.9843949140234001</v>
      </c>
      <c r="F12" s="18">
        <f t="shared" si="4"/>
        <v>19728.322740565294</v>
      </c>
      <c r="G12" s="18">
        <f t="shared" si="5"/>
        <v>2824.6287593151978</v>
      </c>
    </row>
    <row r="13" spans="1:13" x14ac:dyDescent="0.35">
      <c r="A13" s="7">
        <v>45536</v>
      </c>
      <c r="B13" s="16">
        <v>6.5232650000000003</v>
      </c>
      <c r="C13" s="8">
        <v>45.794759999999997</v>
      </c>
      <c r="D13" s="8">
        <v>130.50246419203901</v>
      </c>
      <c r="E13" s="8">
        <f t="shared" si="3"/>
        <v>7.0202207023630026</v>
      </c>
      <c r="F13" s="18">
        <f t="shared" si="4"/>
        <v>20005.697176496586</v>
      </c>
      <c r="G13" s="18">
        <f t="shared" si="5"/>
        <v>2849.7248198710731</v>
      </c>
    </row>
    <row r="14" spans="1:13" x14ac:dyDescent="0.35">
      <c r="A14" s="7">
        <v>45566</v>
      </c>
      <c r="B14" s="16">
        <v>6.578951</v>
      </c>
      <c r="C14" s="8">
        <v>46.441845000000001</v>
      </c>
      <c r="D14" s="8">
        <v>134.10779482190901</v>
      </c>
      <c r="E14" s="8">
        <f t="shared" si="3"/>
        <v>7.0591565433455878</v>
      </c>
      <c r="F14" s="18">
        <f t="shared" si="4"/>
        <v>20384.373560755965</v>
      </c>
      <c r="G14" s="18">
        <f t="shared" si="5"/>
        <v>2887.6500238504527</v>
      </c>
    </row>
    <row r="15" spans="1:13" x14ac:dyDescent="0.35">
      <c r="A15" s="7">
        <v>45597</v>
      </c>
      <c r="B15" s="16">
        <v>6.5736350000000003</v>
      </c>
      <c r="C15" s="8">
        <v>45.628833999999998</v>
      </c>
      <c r="D15" s="8">
        <v>131.81445896174901</v>
      </c>
      <c r="E15" s="8">
        <f t="shared" si="3"/>
        <v>6.941187638194088</v>
      </c>
      <c r="F15" s="18">
        <f t="shared" si="4"/>
        <v>20051.989342540164</v>
      </c>
      <c r="G15" s="18">
        <f t="shared" si="5"/>
        <v>2888.8412743956819</v>
      </c>
    </row>
    <row r="16" spans="1:13" ht="15" thickBot="1" x14ac:dyDescent="0.4">
      <c r="A16" s="9">
        <v>45627</v>
      </c>
      <c r="B16" s="17">
        <v>6.5584680000000004</v>
      </c>
      <c r="C16" s="10">
        <v>45.493251000000001</v>
      </c>
      <c r="D16" s="10">
        <v>130.01333548524801</v>
      </c>
      <c r="E16" s="10">
        <f t="shared" ref="E16:E22" si="6">C16/B16</f>
        <v>6.9365667408913172</v>
      </c>
      <c r="F16" s="20">
        <f t="shared" ref="F16:F22" si="7">1000*D16/B16</f>
        <v>19823.735586610775</v>
      </c>
      <c r="G16" s="20">
        <f t="shared" ref="G16:G22" si="8">F16/E16</f>
        <v>2857.8598501401452</v>
      </c>
    </row>
    <row r="17" spans="1:13" x14ac:dyDescent="0.35">
      <c r="A17" s="4">
        <v>45658</v>
      </c>
      <c r="B17" s="15">
        <v>6.6605650000000001</v>
      </c>
      <c r="C17" s="5">
        <v>45.825068000000002</v>
      </c>
      <c r="D17" s="5">
        <v>133.88891025282001</v>
      </c>
      <c r="E17" s="5">
        <f t="shared" si="6"/>
        <v>6.8800571723269721</v>
      </c>
      <c r="F17" s="18">
        <f t="shared" si="7"/>
        <v>20101.734650561928</v>
      </c>
      <c r="G17" s="18">
        <f t="shared" si="8"/>
        <v>2921.7394778949374</v>
      </c>
    </row>
    <row r="18" spans="1:13" x14ac:dyDescent="0.35">
      <c r="A18" s="7">
        <v>45689</v>
      </c>
      <c r="B18" s="16">
        <v>6.7903580000000003</v>
      </c>
      <c r="C18" s="8">
        <v>47.214861999999997</v>
      </c>
      <c r="D18" s="8">
        <v>141.63851176759999</v>
      </c>
      <c r="E18" s="8">
        <f t="shared" si="6"/>
        <v>6.9532213176389215</v>
      </c>
      <c r="F18" s="18">
        <f t="shared" si="7"/>
        <v>20858.769415044095</v>
      </c>
      <c r="G18" s="18">
        <f t="shared" si="8"/>
        <v>2999.8713491442591</v>
      </c>
      <c r="K18" s="24"/>
      <c r="L18" s="24"/>
      <c r="M18" s="24"/>
    </row>
    <row r="19" spans="1:13" x14ac:dyDescent="0.35">
      <c r="A19" s="7">
        <v>45717</v>
      </c>
      <c r="B19" s="16">
        <v>6.9301769999999996</v>
      </c>
      <c r="C19" s="8">
        <v>48.181207000000001</v>
      </c>
      <c r="D19" s="8">
        <v>146.20491883816001</v>
      </c>
      <c r="E19" s="8">
        <f t="shared" si="6"/>
        <v>6.952377551107281</v>
      </c>
      <c r="F19" s="18">
        <f t="shared" si="7"/>
        <v>21096.852048390687</v>
      </c>
      <c r="G19" s="18">
        <f t="shared" si="8"/>
        <v>3034.4802038305106</v>
      </c>
    </row>
    <row r="20" spans="1:13" x14ac:dyDescent="0.35">
      <c r="A20" s="7">
        <v>45748</v>
      </c>
      <c r="B20" s="16">
        <v>7.1267740000000002</v>
      </c>
      <c r="C20" s="8">
        <v>49.518819999999998</v>
      </c>
      <c r="D20" s="8">
        <v>152.40808566199999</v>
      </c>
      <c r="E20" s="8">
        <f t="shared" si="6"/>
        <v>6.9482798247846773</v>
      </c>
      <c r="F20" s="18">
        <f t="shared" si="7"/>
        <v>21385.283953440925</v>
      </c>
      <c r="G20" s="18">
        <f t="shared" si="8"/>
        <v>3077.7810469231699</v>
      </c>
    </row>
    <row r="21" spans="1:13" x14ac:dyDescent="0.35">
      <c r="A21" s="7">
        <v>45778</v>
      </c>
      <c r="B21" s="16">
        <v>7.2741709999999999</v>
      </c>
      <c r="C21" s="8">
        <v>50.624200999999999</v>
      </c>
      <c r="D21" s="8">
        <v>157.33195496100001</v>
      </c>
      <c r="E21" s="8">
        <f t="shared" si="6"/>
        <v>6.9594461004559829</v>
      </c>
      <c r="F21" s="18">
        <f t="shared" si="7"/>
        <v>21628.850210010187</v>
      </c>
      <c r="G21" s="18">
        <f t="shared" si="8"/>
        <v>3107.8407531014668</v>
      </c>
    </row>
    <row r="22" spans="1:13" x14ac:dyDescent="0.35">
      <c r="A22" s="7">
        <v>45809</v>
      </c>
      <c r="B22" s="16">
        <v>7.3807600000000004</v>
      </c>
      <c r="C22" s="8">
        <v>51.703279999999999</v>
      </c>
      <c r="D22" s="8">
        <v>161.884050239</v>
      </c>
      <c r="E22" s="8">
        <f t="shared" si="6"/>
        <v>7.0051431017943946</v>
      </c>
      <c r="F22" s="18">
        <f t="shared" si="7"/>
        <v>21933.24945385028</v>
      </c>
      <c r="G22" s="18">
        <f t="shared" si="8"/>
        <v>3131.0208992350194</v>
      </c>
    </row>
    <row r="23" spans="1:13" x14ac:dyDescent="0.35">
      <c r="A23" s="7">
        <v>45839</v>
      </c>
      <c r="B23" s="16">
        <v>7.5843020000000001</v>
      </c>
      <c r="C23" s="8">
        <v>52.827357999999997</v>
      </c>
      <c r="D23" s="8">
        <v>166.58274456500001</v>
      </c>
      <c r="E23" s="8">
        <f t="shared" ref="E23:E28" si="9">C23/B23</f>
        <v>6.9653552825296243</v>
      </c>
      <c r="F23" s="18">
        <f t="shared" ref="F23:F28" si="10">1000*D23/B23</f>
        <v>21964.149708832796</v>
      </c>
      <c r="G23" s="18">
        <f t="shared" ref="G23:G28" si="11">F23/E23</f>
        <v>3153.3423376009077</v>
      </c>
    </row>
    <row r="24" spans="1:13" x14ac:dyDescent="0.35">
      <c r="A24" s="7">
        <v>45870</v>
      </c>
      <c r="B24" s="16">
        <v>7.6955169999999997</v>
      </c>
      <c r="C24" s="8">
        <v>53.918022000000001</v>
      </c>
      <c r="D24" s="8">
        <v>171.82794092</v>
      </c>
      <c r="E24" s="8">
        <f t="shared" si="9"/>
        <v>7.0064197116321099</v>
      </c>
      <c r="F24" s="18">
        <f t="shared" si="10"/>
        <v>22328.316722580174</v>
      </c>
      <c r="G24" s="18">
        <f t="shared" si="11"/>
        <v>3186.8368784003242</v>
      </c>
    </row>
    <row r="25" spans="1:13" x14ac:dyDescent="0.35">
      <c r="A25" s="7">
        <v>45901</v>
      </c>
      <c r="B25" s="16">
        <v>7.9572070000000004</v>
      </c>
      <c r="C25" s="8">
        <v>54.638275999999998</v>
      </c>
      <c r="D25" s="8">
        <v>173.96357951600001</v>
      </c>
      <c r="E25" s="8">
        <f t="shared" si="9"/>
        <v>6.8665143435378768</v>
      </c>
      <c r="F25" s="18">
        <f t="shared" si="10"/>
        <v>21862.392107683008</v>
      </c>
      <c r="G25" s="18">
        <f t="shared" si="11"/>
        <v>3183.9141395310494</v>
      </c>
    </row>
    <row r="26" spans="1:13" x14ac:dyDescent="0.35">
      <c r="A26" s="7">
        <v>45931</v>
      </c>
      <c r="B26" s="16">
        <v>8.224653</v>
      </c>
      <c r="C26" s="8">
        <v>55.586801000000001</v>
      </c>
      <c r="D26" s="8">
        <v>177.10708880499999</v>
      </c>
      <c r="E26" s="8">
        <f t="shared" si="9"/>
        <v>6.7585588109309898</v>
      </c>
      <c r="F26" s="18">
        <f t="shared" si="10"/>
        <v>21533.685227206544</v>
      </c>
      <c r="G26" s="18">
        <f t="shared" si="11"/>
        <v>3186.1356584452483</v>
      </c>
    </row>
    <row r="27" spans="1:13" x14ac:dyDescent="0.35">
      <c r="A27" s="7">
        <v>45962</v>
      </c>
      <c r="B27" s="16">
        <v>8.4283219999999996</v>
      </c>
      <c r="C27" s="8">
        <v>56.477245000000003</v>
      </c>
      <c r="D27" s="8">
        <v>182.55748247299999</v>
      </c>
      <c r="E27" s="8">
        <f t="shared" si="9"/>
        <v>6.7008883856122257</v>
      </c>
      <c r="F27" s="18">
        <f t="shared" si="10"/>
        <v>21660.003316555772</v>
      </c>
      <c r="G27" s="18">
        <f t="shared" si="11"/>
        <v>3232.4077152311515</v>
      </c>
    </row>
    <row r="28" spans="1:13" ht="15" thickBot="1" x14ac:dyDescent="0.4">
      <c r="A28" s="9">
        <v>45992</v>
      </c>
      <c r="B28" s="17">
        <v>8.5052979999999998</v>
      </c>
      <c r="C28" s="10">
        <v>57.094455000000004</v>
      </c>
      <c r="D28" s="10">
        <v>185.449468287</v>
      </c>
      <c r="E28" s="10">
        <f t="shared" si="9"/>
        <v>6.7128106504910239</v>
      </c>
      <c r="F28" s="20">
        <f t="shared" si="10"/>
        <v>21803.994203024984</v>
      </c>
      <c r="G28" s="20">
        <f t="shared" si="11"/>
        <v>3248.1169719020872</v>
      </c>
    </row>
    <row r="29" spans="1:13" x14ac:dyDescent="0.35">
      <c r="A29" s="4">
        <v>46023</v>
      </c>
      <c r="B29" s="15">
        <v>8.2934439999999991</v>
      </c>
      <c r="C29" s="5">
        <v>54.587823</v>
      </c>
      <c r="D29" s="5">
        <v>176.055721922</v>
      </c>
      <c r="E29" s="5">
        <f t="shared" ref="E29:E30" si="12">C29/B29</f>
        <v>6.5820451672429456</v>
      </c>
      <c r="F29" s="18">
        <f t="shared" ref="F29:F30" si="13">1000*D29/B29</f>
        <v>21228.300561503762</v>
      </c>
      <c r="G29" s="18">
        <f t="shared" ref="G29:G30" si="14">F29/E29</f>
        <v>3225.1830581703175</v>
      </c>
    </row>
    <row r="30" spans="1:13" x14ac:dyDescent="0.35">
      <c r="A30" s="7">
        <v>46054</v>
      </c>
      <c r="B30" s="16">
        <v>8.3873300000000004</v>
      </c>
      <c r="C30" s="8">
        <v>55.125050000000002</v>
      </c>
      <c r="D30" s="8">
        <v>178.60743820600001</v>
      </c>
      <c r="E30" s="8">
        <f t="shared" si="12"/>
        <v>6.5724193515695699</v>
      </c>
      <c r="F30" s="18">
        <f t="shared" si="13"/>
        <v>21294.910085331088</v>
      </c>
      <c r="G30" s="18">
        <f t="shared" si="14"/>
        <v>3240.041291681368</v>
      </c>
      <c r="K30" s="24"/>
      <c r="L30" s="24"/>
      <c r="M30" s="24"/>
    </row>
    <row r="31" spans="1:13" x14ac:dyDescent="0.35">
      <c r="A31" s="7">
        <v>46082</v>
      </c>
      <c r="B31" s="16">
        <v>8.4426579999999998</v>
      </c>
      <c r="C31" s="8">
        <v>56.261994999999999</v>
      </c>
      <c r="D31" s="8">
        <v>185.29962812100001</v>
      </c>
      <c r="E31" s="8">
        <f t="shared" ref="E31" si="15">C31/B31</f>
        <v>6.664014460848704</v>
      </c>
      <c r="F31" s="18">
        <f t="shared" ref="F31" si="16">1000*D31/B31</f>
        <v>21948.020175755079</v>
      </c>
      <c r="G31" s="18">
        <f t="shared" ref="G31" si="17">F31/E31</f>
        <v>3293.5132876287098</v>
      </c>
    </row>
    <row r="32" spans="1:13" x14ac:dyDescent="0.35">
      <c r="A32" s="7">
        <v>46113</v>
      </c>
      <c r="B32" s="16">
        <v>8.5233089999999994</v>
      </c>
      <c r="C32" s="8">
        <v>57.620528</v>
      </c>
      <c r="D32" s="8">
        <v>191.803304779</v>
      </c>
      <c r="E32" s="8">
        <f t="shared" ref="E32" si="18">C32/B32</f>
        <v>6.7603471844092482</v>
      </c>
      <c r="F32" s="18">
        <f t="shared" ref="F32" si="19">1000*D32/B32</f>
        <v>22503.385103015742</v>
      </c>
      <c r="G32" s="18">
        <f t="shared" ref="G32" si="20">F32/E32</f>
        <v>3328.7321625896934</v>
      </c>
    </row>
    <row r="33" spans="1:7" x14ac:dyDescent="0.35">
      <c r="A33" s="7">
        <v>46143</v>
      </c>
      <c r="B33" s="16">
        <v>8.5789570000000008</v>
      </c>
      <c r="C33" s="8">
        <v>59.012981000000003</v>
      </c>
      <c r="D33" s="8">
        <v>198.83886157800001</v>
      </c>
      <c r="E33" s="8">
        <f t="shared" ref="E33" si="21">C33/B33</f>
        <v>6.8788060133650273</v>
      </c>
      <c r="F33" s="18">
        <f t="shared" ref="F33" si="22">1000*D33/B33</f>
        <v>23177.509990783259</v>
      </c>
      <c r="G33" s="18">
        <f t="shared" ref="G33" si="23">F33/E33</f>
        <v>3369.4088691774441</v>
      </c>
    </row>
    <row r="34" spans="1:7" x14ac:dyDescent="0.35">
      <c r="A34" s="7">
        <v>46174</v>
      </c>
      <c r="B34" s="16">
        <v>8.6858120000000003</v>
      </c>
      <c r="C34" s="8">
        <v>59.739662000000003</v>
      </c>
      <c r="D34" s="8">
        <v>201.35068670199999</v>
      </c>
      <c r="E34" s="8">
        <f t="shared" ref="E34" si="24">C34/B34</f>
        <v>6.8778442360944494</v>
      </c>
      <c r="F34" s="18">
        <f t="shared" ref="F34" si="25">1000*D34/B34</f>
        <v>23181.561689569146</v>
      </c>
      <c r="G34" s="18">
        <f t="shared" ref="G34" si="26">F34/E34</f>
        <v>3370.469131579619</v>
      </c>
    </row>
    <row r="35" spans="1:7" x14ac:dyDescent="0.35">
      <c r="A35" s="7">
        <v>46204</v>
      </c>
      <c r="B35" s="16">
        <v>8.7368039999999993</v>
      </c>
      <c r="C35" s="8">
        <v>60.510699000000002</v>
      </c>
      <c r="D35" s="8">
        <v>205.96432835300001</v>
      </c>
      <c r="E35" s="8">
        <f t="shared" ref="E35" si="27">C35/B35</f>
        <v>6.925953586689138</v>
      </c>
      <c r="F35" s="18">
        <f t="shared" ref="F35" si="28">1000*D35/B35</f>
        <v>23574.333171832634</v>
      </c>
      <c r="G35" s="18">
        <f t="shared" ref="G35" si="29">F35/E35</f>
        <v>3403.7671313795272</v>
      </c>
    </row>
    <row r="36" spans="1:7" x14ac:dyDescent="0.35">
      <c r="A36" s="7">
        <v>46235</v>
      </c>
      <c r="B36" s="16"/>
      <c r="C36" s="8"/>
      <c r="D36" s="8"/>
      <c r="E36" s="8"/>
      <c r="F36" s="30"/>
      <c r="G36" s="30"/>
    </row>
    <row r="37" spans="1:7" x14ac:dyDescent="0.35">
      <c r="A37" s="7">
        <v>46266</v>
      </c>
      <c r="B37" s="16"/>
      <c r="C37" s="8"/>
      <c r="D37" s="8"/>
      <c r="E37" s="8"/>
      <c r="F37" s="8"/>
      <c r="G37" s="8"/>
    </row>
    <row r="38" spans="1:7" x14ac:dyDescent="0.35">
      <c r="A38" s="7">
        <v>46296</v>
      </c>
      <c r="B38" s="16"/>
      <c r="C38" s="8"/>
      <c r="D38" s="8"/>
      <c r="E38" s="8"/>
      <c r="F38" s="8"/>
      <c r="G38" s="8"/>
    </row>
    <row r="39" spans="1:7" x14ac:dyDescent="0.35">
      <c r="A39" s="7">
        <v>46327</v>
      </c>
      <c r="B39" s="16"/>
      <c r="C39" s="8"/>
      <c r="D39" s="8"/>
      <c r="E39" s="8"/>
      <c r="F39" s="8"/>
      <c r="G39" s="8"/>
    </row>
    <row r="40" spans="1:7" ht="15" thickBot="1" x14ac:dyDescent="0.4">
      <c r="A40" s="9">
        <v>46357</v>
      </c>
      <c r="B40" s="17"/>
      <c r="C40" s="10"/>
      <c r="D40" s="10"/>
      <c r="E40" s="10"/>
      <c r="F40" s="10"/>
      <c r="G40" s="10"/>
    </row>
  </sheetData>
  <mergeCells count="2">
    <mergeCell ref="A2:G2"/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zoomScale="90" zoomScaleNormal="90" workbookViewId="0">
      <pane xSplit="1" ySplit="4" topLeftCell="B29" activePane="bottomRight" state="frozen"/>
      <selection activeCell="B4" sqref="B4"/>
      <selection pane="topRight" activeCell="B4" sqref="B4"/>
      <selection pane="bottomLeft" activeCell="B4" sqref="B4"/>
      <selection pane="bottomRight" activeCell="B39" sqref="B39"/>
    </sheetView>
  </sheetViews>
  <sheetFormatPr defaultColWidth="9.1796875" defaultRowHeight="14.5" x14ac:dyDescent="0.35"/>
  <cols>
    <col min="1" max="7" width="16.26953125" style="1" customWidth="1"/>
    <col min="8" max="8" width="13.36328125" style="1" customWidth="1"/>
    <col min="9" max="16384" width="9.1796875" style="1"/>
  </cols>
  <sheetData>
    <row r="1" spans="1:10" ht="45.5" customHeight="1" x14ac:dyDescent="0.35"/>
    <row r="2" spans="1:10" ht="15" customHeight="1" x14ac:dyDescent="0.35">
      <c r="A2" s="31" t="s">
        <v>6</v>
      </c>
      <c r="B2" s="31"/>
      <c r="C2" s="31"/>
      <c r="D2" s="31"/>
      <c r="E2" s="31"/>
      <c r="F2" s="31"/>
      <c r="G2" s="31"/>
    </row>
    <row r="3" spans="1:10" ht="15" thickBot="1" x14ac:dyDescent="0.4">
      <c r="A3" s="32" t="s">
        <v>25</v>
      </c>
      <c r="B3" s="32"/>
      <c r="C3" s="32"/>
      <c r="D3" s="32"/>
      <c r="E3" s="32"/>
      <c r="F3" s="32"/>
      <c r="G3" s="32"/>
    </row>
    <row r="4" spans="1:10" ht="51" customHeight="1" thickBot="1" x14ac:dyDescent="0.4">
      <c r="A4" s="2" t="s">
        <v>0</v>
      </c>
      <c r="B4" s="3" t="s">
        <v>8</v>
      </c>
      <c r="C4" s="3" t="s">
        <v>2</v>
      </c>
      <c r="D4" s="3" t="s">
        <v>3</v>
      </c>
      <c r="E4" s="3" t="s">
        <v>7</v>
      </c>
      <c r="F4" s="3" t="s">
        <v>5</v>
      </c>
      <c r="G4" s="3" t="s">
        <v>4</v>
      </c>
    </row>
    <row r="5" spans="1:10" x14ac:dyDescent="0.35">
      <c r="A5" s="4">
        <v>45292</v>
      </c>
      <c r="B5" s="15">
        <v>2.7893999999999999E-2</v>
      </c>
      <c r="C5" s="5">
        <v>0.76136899999999996</v>
      </c>
      <c r="D5" s="8">
        <v>4.2661616699899998</v>
      </c>
      <c r="E5" s="5">
        <f t="shared" ref="E5:E9" si="0">C5/B5</f>
        <v>27.295081379508137</v>
      </c>
      <c r="F5" s="18">
        <f t="shared" ref="F5:F9" si="1">1000*D5/B5</f>
        <v>152941.91116333261</v>
      </c>
      <c r="G5" s="18">
        <f t="shared" ref="G5:G9" si="2">F5/E5</f>
        <v>5603.2773464509328</v>
      </c>
      <c r="H5" s="29"/>
      <c r="I5" s="25"/>
      <c r="J5" s="25"/>
    </row>
    <row r="6" spans="1:10" x14ac:dyDescent="0.35">
      <c r="A6" s="7">
        <v>45323</v>
      </c>
      <c r="B6" s="16">
        <v>2.8209999999999999E-2</v>
      </c>
      <c r="C6" s="8">
        <v>0.78794399999999998</v>
      </c>
      <c r="D6" s="8">
        <v>4.4614911626899998</v>
      </c>
      <c r="E6" s="8">
        <f t="shared" si="0"/>
        <v>27.931371853952498</v>
      </c>
      <c r="F6" s="18">
        <f t="shared" si="1"/>
        <v>158152.82391669622</v>
      </c>
      <c r="G6" s="18">
        <f t="shared" si="2"/>
        <v>5662.1932049612669</v>
      </c>
      <c r="H6" s="29"/>
      <c r="I6" s="27"/>
      <c r="J6" s="27"/>
    </row>
    <row r="7" spans="1:10" x14ac:dyDescent="0.35">
      <c r="A7" s="7">
        <v>45352</v>
      </c>
      <c r="B7" s="16">
        <v>2.9437999999999999E-2</v>
      </c>
      <c r="C7" s="8">
        <v>0.86462799999999995</v>
      </c>
      <c r="D7" s="8">
        <v>4.9664655941199998</v>
      </c>
      <c r="E7" s="8">
        <f t="shared" si="0"/>
        <v>29.371152931585026</v>
      </c>
      <c r="F7" s="18">
        <f t="shared" si="1"/>
        <v>168709.341467491</v>
      </c>
      <c r="G7" s="18">
        <f t="shared" si="2"/>
        <v>5744.0489946196512</v>
      </c>
      <c r="H7" s="29"/>
    </row>
    <row r="8" spans="1:10" x14ac:dyDescent="0.35">
      <c r="A8" s="7">
        <v>45383</v>
      </c>
      <c r="B8" s="16">
        <v>2.9658E-2</v>
      </c>
      <c r="C8" s="8">
        <v>0.90478499999999995</v>
      </c>
      <c r="D8" s="8">
        <v>5.2475001074899996</v>
      </c>
      <c r="E8" s="8">
        <f t="shared" si="0"/>
        <v>30.507283026502122</v>
      </c>
      <c r="F8" s="18">
        <f t="shared" si="1"/>
        <v>176933.71459606173</v>
      </c>
      <c r="G8" s="18">
        <f t="shared" si="2"/>
        <v>5799.7204943605375</v>
      </c>
      <c r="H8" s="29"/>
    </row>
    <row r="9" spans="1:10" x14ac:dyDescent="0.35">
      <c r="A9" s="7">
        <v>45413</v>
      </c>
      <c r="B9" s="16">
        <v>3.0159999999999999E-2</v>
      </c>
      <c r="C9" s="8">
        <v>0.95471899999999998</v>
      </c>
      <c r="D9" s="8">
        <v>5.5835344546899996</v>
      </c>
      <c r="E9" s="8">
        <f t="shared" si="0"/>
        <v>31.655139257294429</v>
      </c>
      <c r="F9" s="18">
        <f t="shared" si="1"/>
        <v>185130.45274171088</v>
      </c>
      <c r="G9" s="18">
        <f t="shared" si="2"/>
        <v>5848.3537613580538</v>
      </c>
      <c r="H9" s="29"/>
    </row>
    <row r="10" spans="1:10" x14ac:dyDescent="0.35">
      <c r="A10" s="7">
        <v>45444</v>
      </c>
      <c r="B10" s="16">
        <v>3.0155999999999999E-2</v>
      </c>
      <c r="C10" s="8">
        <v>0.94258900000000001</v>
      </c>
      <c r="D10" s="8">
        <v>5.5613367498899997</v>
      </c>
      <c r="E10" s="8">
        <f t="shared" ref="E10:E15" si="3">C10/B10</f>
        <v>31.257096431887518</v>
      </c>
      <c r="F10" s="18">
        <f t="shared" ref="F10:F15" si="4">1000*D10/B10</f>
        <v>184418.9133137684</v>
      </c>
      <c r="G10" s="18">
        <f t="shared" ref="G10:G15" si="5">F10/E10</f>
        <v>5900.0654048477118</v>
      </c>
      <c r="H10" s="29"/>
    </row>
    <row r="11" spans="1:10" x14ac:dyDescent="0.35">
      <c r="A11" s="7">
        <v>45474</v>
      </c>
      <c r="B11" s="16">
        <v>3.0242999999999999E-2</v>
      </c>
      <c r="C11" s="8">
        <v>0.94572900000000004</v>
      </c>
      <c r="D11" s="8">
        <v>5.6064414296900003</v>
      </c>
      <c r="E11" s="8">
        <f t="shared" si="3"/>
        <v>31.27100486062891</v>
      </c>
      <c r="F11" s="18">
        <f t="shared" si="4"/>
        <v>185379.8045726284</v>
      </c>
      <c r="G11" s="18">
        <f t="shared" si="5"/>
        <v>5928.1690946243589</v>
      </c>
      <c r="H11" s="29"/>
    </row>
    <row r="12" spans="1:10" x14ac:dyDescent="0.35">
      <c r="A12" s="7">
        <v>45505</v>
      </c>
      <c r="B12" s="16">
        <v>3.0398999999999999E-2</v>
      </c>
      <c r="C12" s="8">
        <v>0.97256799999999999</v>
      </c>
      <c r="D12" s="8">
        <v>5.7704732628000004</v>
      </c>
      <c r="E12" s="8">
        <f t="shared" si="3"/>
        <v>31.993420836211719</v>
      </c>
      <c r="F12" s="18">
        <f t="shared" si="4"/>
        <v>189824.44365933092</v>
      </c>
      <c r="G12" s="18">
        <f t="shared" si="5"/>
        <v>5933.2337304949378</v>
      </c>
      <c r="H12" s="29"/>
    </row>
    <row r="13" spans="1:10" x14ac:dyDescent="0.35">
      <c r="A13" s="7">
        <v>45536</v>
      </c>
      <c r="B13" s="16">
        <v>3.0814999999999999E-2</v>
      </c>
      <c r="C13" s="8">
        <v>0.99032900000000001</v>
      </c>
      <c r="D13" s="8">
        <v>5.89565132262</v>
      </c>
      <c r="E13" s="8">
        <f t="shared" si="3"/>
        <v>32.13788739250365</v>
      </c>
      <c r="F13" s="18">
        <f t="shared" si="4"/>
        <v>191324.07342592895</v>
      </c>
      <c r="G13" s="18">
        <f t="shared" si="5"/>
        <v>5953.2249612199585</v>
      </c>
      <c r="H13" s="29"/>
    </row>
    <row r="14" spans="1:10" x14ac:dyDescent="0.35">
      <c r="A14" s="7">
        <v>45566</v>
      </c>
      <c r="B14" s="16">
        <v>3.1310999999999999E-2</v>
      </c>
      <c r="C14" s="8">
        <v>1.0375179999999999</v>
      </c>
      <c r="D14" s="8">
        <v>6.2505350881300004</v>
      </c>
      <c r="E14" s="8">
        <f t="shared" si="3"/>
        <v>33.135894733480249</v>
      </c>
      <c r="F14" s="18">
        <f t="shared" si="4"/>
        <v>199627.45003768645</v>
      </c>
      <c r="G14" s="18">
        <f t="shared" si="5"/>
        <v>6024.5076115595102</v>
      </c>
      <c r="H14" s="29"/>
    </row>
    <row r="15" spans="1:10" x14ac:dyDescent="0.35">
      <c r="A15" s="7">
        <v>45597</v>
      </c>
      <c r="B15" s="16">
        <v>3.2112000000000002E-2</v>
      </c>
      <c r="C15" s="8">
        <v>1.0132699999999999</v>
      </c>
      <c r="D15" s="8">
        <v>6.1223041732599999</v>
      </c>
      <c r="E15" s="8">
        <f t="shared" si="3"/>
        <v>31.554247633283502</v>
      </c>
      <c r="F15" s="18">
        <f t="shared" si="4"/>
        <v>190654.71391567012</v>
      </c>
      <c r="G15" s="18">
        <f t="shared" si="5"/>
        <v>6042.1251722245797</v>
      </c>
      <c r="H15" s="29"/>
    </row>
    <row r="16" spans="1:10" ht="15" thickBot="1" x14ac:dyDescent="0.4">
      <c r="A16" s="9">
        <v>45627</v>
      </c>
      <c r="B16" s="17">
        <v>2.8684000000000001E-2</v>
      </c>
      <c r="C16" s="10">
        <v>0.79547800000000002</v>
      </c>
      <c r="D16" s="10">
        <v>4.7896632319599997</v>
      </c>
      <c r="E16" s="10">
        <f t="shared" ref="E16:E22" si="6">C16/B16</f>
        <v>27.732464091479571</v>
      </c>
      <c r="F16" s="20">
        <f t="shared" ref="F16:F22" si="7">1000*D16/B16</f>
        <v>166980.31069446378</v>
      </c>
      <c r="G16" s="20">
        <f t="shared" ref="G16:G22" si="8">F16/E16</f>
        <v>6021.1133833493814</v>
      </c>
      <c r="H16" s="29"/>
    </row>
    <row r="17" spans="1:10" x14ac:dyDescent="0.35">
      <c r="A17" s="4">
        <v>45658</v>
      </c>
      <c r="B17" s="15">
        <v>2.9243999999999999E-2</v>
      </c>
      <c r="C17" s="5">
        <v>0.83157999999999999</v>
      </c>
      <c r="D17" s="8">
        <v>5.0181496221100002</v>
      </c>
      <c r="E17" s="5">
        <f t="shared" si="6"/>
        <v>28.43591847900424</v>
      </c>
      <c r="F17" s="18">
        <f t="shared" si="7"/>
        <v>171595.86999418685</v>
      </c>
      <c r="G17" s="18">
        <f t="shared" si="8"/>
        <v>6034.4760842131855</v>
      </c>
      <c r="H17" s="29"/>
      <c r="I17" s="25"/>
      <c r="J17" s="25"/>
    </row>
    <row r="18" spans="1:10" x14ac:dyDescent="0.35">
      <c r="A18" s="7">
        <v>45689</v>
      </c>
      <c r="B18" s="16">
        <v>3.0158000000000001E-2</v>
      </c>
      <c r="C18" s="8">
        <v>0.93882200000000005</v>
      </c>
      <c r="D18" s="8">
        <v>5.7445637163400001</v>
      </c>
      <c r="E18" s="8">
        <f t="shared" si="6"/>
        <v>31.130114729093442</v>
      </c>
      <c r="F18" s="18">
        <f t="shared" si="7"/>
        <v>190482.25069102724</v>
      </c>
      <c r="G18" s="18">
        <f t="shared" si="8"/>
        <v>6118.906157226822</v>
      </c>
      <c r="H18" s="29"/>
      <c r="I18" s="27"/>
      <c r="J18" s="27"/>
    </row>
    <row r="19" spans="1:10" x14ac:dyDescent="0.35">
      <c r="A19" s="7">
        <v>45717</v>
      </c>
      <c r="B19" s="16">
        <v>3.1181E-2</v>
      </c>
      <c r="C19" s="8">
        <v>1.0155289999999999</v>
      </c>
      <c r="D19" s="8">
        <v>6.2612408101300003</v>
      </c>
      <c r="E19" s="8">
        <f t="shared" si="6"/>
        <v>32.568839998717166</v>
      </c>
      <c r="F19" s="18">
        <f t="shared" si="7"/>
        <v>200803.0791228633</v>
      </c>
      <c r="G19" s="18">
        <f t="shared" si="8"/>
        <v>6165.4968101649492</v>
      </c>
      <c r="H19" s="29"/>
    </row>
    <row r="20" spans="1:10" x14ac:dyDescent="0.35">
      <c r="A20" s="7">
        <v>45748</v>
      </c>
      <c r="B20" s="16">
        <v>3.1789999999999999E-2</v>
      </c>
      <c r="C20" s="8">
        <v>1.0821419999999999</v>
      </c>
      <c r="D20" s="8">
        <v>6.6082487419999998</v>
      </c>
      <c r="E20" s="8">
        <f t="shared" si="6"/>
        <v>34.040327146901539</v>
      </c>
      <c r="F20" s="18">
        <f t="shared" si="7"/>
        <v>207871.9327461466</v>
      </c>
      <c r="G20" s="18">
        <f t="shared" si="8"/>
        <v>6106.6373377985519</v>
      </c>
      <c r="H20" s="29"/>
    </row>
    <row r="21" spans="1:10" x14ac:dyDescent="0.35">
      <c r="A21" s="7">
        <v>45778</v>
      </c>
      <c r="B21" s="16">
        <v>3.1739999999999997E-2</v>
      </c>
      <c r="C21" s="8">
        <v>1.1072820000000001</v>
      </c>
      <c r="D21" s="8">
        <v>6.8066355810000001</v>
      </c>
      <c r="E21" s="8">
        <f t="shared" si="6"/>
        <v>34.886011342155015</v>
      </c>
      <c r="F21" s="18">
        <f t="shared" si="7"/>
        <v>214449.76625708889</v>
      </c>
      <c r="G21" s="18">
        <f t="shared" si="8"/>
        <v>6147.1563531241363</v>
      </c>
      <c r="H21" s="29"/>
    </row>
    <row r="22" spans="1:10" x14ac:dyDescent="0.35">
      <c r="A22" s="7">
        <v>45809</v>
      </c>
      <c r="B22" s="16">
        <v>3.2773999999999998E-2</v>
      </c>
      <c r="C22" s="8">
        <v>1.1831499999999999</v>
      </c>
      <c r="D22" s="8">
        <v>7.3421373699999997</v>
      </c>
      <c r="E22" s="8">
        <f t="shared" si="6"/>
        <v>36.100262403124425</v>
      </c>
      <c r="F22" s="18">
        <f t="shared" si="7"/>
        <v>224023.2309147495</v>
      </c>
      <c r="G22" s="18">
        <f t="shared" si="8"/>
        <v>6205.5845581709846</v>
      </c>
      <c r="H22" s="29"/>
    </row>
    <row r="23" spans="1:10" x14ac:dyDescent="0.35">
      <c r="A23" s="7">
        <v>45839</v>
      </c>
      <c r="B23" s="16">
        <v>3.2805000000000001E-2</v>
      </c>
      <c r="C23" s="8">
        <v>1.2008719999999999</v>
      </c>
      <c r="D23" s="8">
        <v>7.4713964600000002</v>
      </c>
      <c r="E23" s="8">
        <f t="shared" ref="E23:E28" si="9">C23/B23</f>
        <v>36.606370980033532</v>
      </c>
      <c r="F23" s="18">
        <f t="shared" ref="F23:F28" si="10">1000*D23/B23</f>
        <v>227751.75918305136</v>
      </c>
      <c r="G23" s="18">
        <f t="shared" ref="G23:G28" si="11">F23/E23</f>
        <v>6221.6426563363957</v>
      </c>
      <c r="H23" s="29"/>
    </row>
    <row r="24" spans="1:10" x14ac:dyDescent="0.35">
      <c r="A24" s="7">
        <v>45870</v>
      </c>
      <c r="B24" s="16">
        <v>3.3494999999999997E-2</v>
      </c>
      <c r="C24" s="8">
        <v>1.273196</v>
      </c>
      <c r="D24" s="8">
        <v>7.9439941899999997</v>
      </c>
      <c r="E24" s="8">
        <f t="shared" si="9"/>
        <v>38.011524108075832</v>
      </c>
      <c r="F24" s="18">
        <f t="shared" si="10"/>
        <v>237169.55336617405</v>
      </c>
      <c r="G24" s="18">
        <f t="shared" si="11"/>
        <v>6239.4118344701046</v>
      </c>
      <c r="H24" s="29"/>
    </row>
    <row r="25" spans="1:10" x14ac:dyDescent="0.35">
      <c r="A25" s="7">
        <v>45901</v>
      </c>
      <c r="B25" s="16">
        <v>3.3598000000000003E-2</v>
      </c>
      <c r="C25" s="8">
        <v>1.2409870000000001</v>
      </c>
      <c r="D25" s="8">
        <v>7.6946342789999997</v>
      </c>
      <c r="E25" s="8">
        <f t="shared" si="9"/>
        <v>36.936335496160481</v>
      </c>
      <c r="F25" s="18">
        <f t="shared" si="10"/>
        <v>229020.60476814094</v>
      </c>
      <c r="G25" s="18">
        <f t="shared" si="11"/>
        <v>6200.4148947571575</v>
      </c>
      <c r="H25" s="29"/>
    </row>
    <row r="26" spans="1:10" x14ac:dyDescent="0.35">
      <c r="A26" s="7">
        <v>45931</v>
      </c>
      <c r="B26" s="16">
        <v>3.4811000000000002E-2</v>
      </c>
      <c r="C26" s="8">
        <v>1.2055070000000001</v>
      </c>
      <c r="D26" s="8">
        <v>7.4594290880000003</v>
      </c>
      <c r="E26" s="8">
        <f t="shared" si="9"/>
        <v>34.630059463962539</v>
      </c>
      <c r="F26" s="18">
        <f t="shared" si="10"/>
        <v>214283.67722846224</v>
      </c>
      <c r="G26" s="18">
        <f t="shared" si="11"/>
        <v>6187.7940882964594</v>
      </c>
      <c r="H26" s="29"/>
    </row>
    <row r="27" spans="1:10" x14ac:dyDescent="0.35">
      <c r="A27" s="7">
        <v>45962</v>
      </c>
      <c r="B27" s="16">
        <v>3.4941E-2</v>
      </c>
      <c r="C27" s="8">
        <v>1.2394430000000001</v>
      </c>
      <c r="D27" s="8">
        <v>7.7311036250000003</v>
      </c>
      <c r="E27" s="8">
        <f t="shared" si="9"/>
        <v>35.472453564580292</v>
      </c>
      <c r="F27" s="18">
        <f t="shared" si="10"/>
        <v>221261.65893935494</v>
      </c>
      <c r="G27" s="18">
        <f t="shared" si="11"/>
        <v>6237.5628608980014</v>
      </c>
      <c r="H27" s="29"/>
    </row>
    <row r="28" spans="1:10" ht="15" thickBot="1" x14ac:dyDescent="0.4">
      <c r="A28" s="9">
        <v>45992</v>
      </c>
      <c r="B28" s="17">
        <v>3.1463999999999999E-2</v>
      </c>
      <c r="C28" s="10">
        <v>1.0090060000000001</v>
      </c>
      <c r="D28" s="10">
        <v>6.2535573759999998</v>
      </c>
      <c r="E28" s="10">
        <f t="shared" si="9"/>
        <v>32.068586320874651</v>
      </c>
      <c r="F28" s="20">
        <f t="shared" si="10"/>
        <v>198752.77701500128</v>
      </c>
      <c r="G28" s="20">
        <f t="shared" si="11"/>
        <v>6197.7405248333507</v>
      </c>
      <c r="H28" s="29"/>
    </row>
    <row r="29" spans="1:10" x14ac:dyDescent="0.35">
      <c r="A29" s="4">
        <v>46023</v>
      </c>
      <c r="B29" s="15">
        <v>3.1442999999999999E-2</v>
      </c>
      <c r="C29" s="5">
        <v>0.93967800000000001</v>
      </c>
      <c r="D29" s="8">
        <v>5.8252459630000004</v>
      </c>
      <c r="E29" s="5">
        <f t="shared" ref="E29:E30" si="12">C29/B29</f>
        <v>29.885125465127373</v>
      </c>
      <c r="F29" s="18">
        <f t="shared" ref="F29:F30" si="13">1000*D29/B29</f>
        <v>185263.68231402859</v>
      </c>
      <c r="G29" s="18">
        <f t="shared" ref="G29:G30" si="14">F29/E29</f>
        <v>6199.1937270001008</v>
      </c>
      <c r="H29" s="29"/>
      <c r="I29" s="25"/>
      <c r="J29" s="25"/>
    </row>
    <row r="30" spans="1:10" x14ac:dyDescent="0.35">
      <c r="A30" s="7">
        <v>46054</v>
      </c>
      <c r="B30" s="16">
        <v>3.1767999999999998E-2</v>
      </c>
      <c r="C30" s="8">
        <v>0.96233800000000003</v>
      </c>
      <c r="D30" s="8">
        <v>5.9829764240000003</v>
      </c>
      <c r="E30" s="8">
        <f t="shared" si="12"/>
        <v>30.292684462352057</v>
      </c>
      <c r="F30" s="18">
        <f t="shared" si="13"/>
        <v>188333.43062200959</v>
      </c>
      <c r="G30" s="18">
        <f t="shared" si="14"/>
        <v>6217.1258165010631</v>
      </c>
      <c r="H30" s="29"/>
      <c r="I30" s="27"/>
      <c r="J30" s="27"/>
    </row>
    <row r="31" spans="1:10" x14ac:dyDescent="0.35">
      <c r="A31" s="7">
        <v>46082</v>
      </c>
      <c r="B31" s="16">
        <v>3.2819000000000001E-2</v>
      </c>
      <c r="C31" s="8">
        <v>1.063455</v>
      </c>
      <c r="D31" s="8">
        <v>6.7547771189999999</v>
      </c>
      <c r="E31" s="8">
        <f t="shared" ref="E31" si="15">C31/B31</f>
        <v>32.403638136445352</v>
      </c>
      <c r="F31" s="18">
        <f t="shared" ref="F31" si="16">1000*D31/B31</f>
        <v>205819.10231877875</v>
      </c>
      <c r="G31" s="18">
        <f t="shared" ref="G31" si="17">F31/E31</f>
        <v>6351.7282057068705</v>
      </c>
      <c r="H31" s="29"/>
    </row>
    <row r="32" spans="1:10" x14ac:dyDescent="0.35">
      <c r="A32" s="7">
        <v>46113</v>
      </c>
      <c r="B32" s="16">
        <v>3.4339000000000001E-2</v>
      </c>
      <c r="C32" s="8">
        <v>1.161826</v>
      </c>
      <c r="D32" s="8">
        <v>7.4033966900000001</v>
      </c>
      <c r="E32" s="8">
        <f t="shared" ref="E32" si="18">C32/B32</f>
        <v>33.834007979265557</v>
      </c>
      <c r="F32" s="18">
        <f t="shared" ref="F32" si="19">1000*D32/B32</f>
        <v>215597.32927575061</v>
      </c>
      <c r="G32" s="18">
        <f t="shared" ref="G32" si="20">F32/E32</f>
        <v>6372.2077918724499</v>
      </c>
      <c r="H32" s="29"/>
    </row>
    <row r="33" spans="1:8" x14ac:dyDescent="0.35">
      <c r="A33" s="7">
        <v>46143</v>
      </c>
      <c r="B33" s="16">
        <v>3.5471000000000003E-2</v>
      </c>
      <c r="C33" s="8">
        <v>1.290076</v>
      </c>
      <c r="D33" s="8">
        <v>8.2306064269999997</v>
      </c>
      <c r="E33" s="8">
        <f t="shared" ref="E33" si="21">C33/B33</f>
        <v>36.369879619971243</v>
      </c>
      <c r="F33" s="18">
        <f t="shared" ref="F33" si="22">1000*D33/B33</f>
        <v>232037.62022497246</v>
      </c>
      <c r="G33" s="18">
        <f t="shared" ref="G33" si="23">F33/E33</f>
        <v>6379.9391873036921</v>
      </c>
      <c r="H33" s="29"/>
    </row>
    <row r="34" spans="1:8" x14ac:dyDescent="0.35">
      <c r="A34" s="7">
        <v>46174</v>
      </c>
      <c r="B34" s="16">
        <v>3.6464000000000003E-2</v>
      </c>
      <c r="C34" s="8">
        <v>1.3079689999999999</v>
      </c>
      <c r="D34" s="8">
        <v>8.3193017949999994</v>
      </c>
      <c r="E34" s="8">
        <f t="shared" ref="E34" si="24">C34/B34</f>
        <v>35.870145897323383</v>
      </c>
      <c r="F34" s="18">
        <f t="shared" ref="F34" si="25">1000*D34/B34</f>
        <v>228151.10232009648</v>
      </c>
      <c r="G34" s="18">
        <f t="shared" ref="G34" si="26">F34/E34</f>
        <v>6360.4732184019649</v>
      </c>
      <c r="H34" s="29"/>
    </row>
    <row r="35" spans="1:8" x14ac:dyDescent="0.35">
      <c r="A35" s="7">
        <v>46204</v>
      </c>
      <c r="B35" s="16">
        <v>3.7259E-2</v>
      </c>
      <c r="C35" s="8">
        <v>1.3772059999999999</v>
      </c>
      <c r="D35" s="8">
        <v>8.7781544010000001</v>
      </c>
      <c r="E35" s="8">
        <f t="shared" ref="E35" si="27">C35/B35</f>
        <v>36.96304248637913</v>
      </c>
      <c r="F35" s="18">
        <f t="shared" ref="F35" si="28">1000*D35/B35</f>
        <v>235598.22864274401</v>
      </c>
      <c r="G35" s="18">
        <f t="shared" ref="G35" si="29">F35/E35</f>
        <v>6373.8862602980225</v>
      </c>
      <c r="H35" s="29"/>
    </row>
    <row r="36" spans="1:8" x14ac:dyDescent="0.35">
      <c r="A36" s="7">
        <v>46235</v>
      </c>
      <c r="B36" s="16"/>
      <c r="C36" s="8"/>
      <c r="D36" s="8"/>
      <c r="E36" s="8"/>
      <c r="F36" s="18"/>
      <c r="G36" s="18"/>
      <c r="H36" s="29"/>
    </row>
    <row r="37" spans="1:8" x14ac:dyDescent="0.35">
      <c r="A37" s="7">
        <v>46266</v>
      </c>
      <c r="B37" s="16"/>
      <c r="C37" s="8"/>
      <c r="D37" s="8"/>
      <c r="E37" s="8"/>
      <c r="F37" s="18"/>
      <c r="G37" s="18"/>
      <c r="H37" s="29"/>
    </row>
    <row r="38" spans="1:8" x14ac:dyDescent="0.35">
      <c r="A38" s="7">
        <v>46296</v>
      </c>
      <c r="B38" s="16"/>
      <c r="C38" s="8"/>
      <c r="D38" s="8"/>
      <c r="E38" s="8"/>
      <c r="F38" s="18"/>
      <c r="G38" s="18"/>
      <c r="H38" s="29"/>
    </row>
    <row r="39" spans="1:8" x14ac:dyDescent="0.35">
      <c r="A39" s="7">
        <v>46327</v>
      </c>
      <c r="B39" s="16"/>
      <c r="C39" s="8"/>
      <c r="D39" s="8"/>
      <c r="E39" s="8"/>
      <c r="F39" s="18"/>
      <c r="G39" s="18"/>
      <c r="H39" s="29"/>
    </row>
    <row r="40" spans="1:8" ht="15" thickBot="1" x14ac:dyDescent="0.4">
      <c r="A40" s="9">
        <v>46357</v>
      </c>
      <c r="B40" s="17"/>
      <c r="C40" s="10"/>
      <c r="D40" s="10"/>
      <c r="E40" s="10"/>
      <c r="F40" s="20"/>
      <c r="G40" s="20"/>
      <c r="H40" s="29"/>
    </row>
  </sheetData>
  <mergeCells count="2">
    <mergeCell ref="A2:G2"/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zoomScale="90" zoomScaleNormal="90" workbookViewId="0">
      <pane xSplit="1" ySplit="4" topLeftCell="B29" activePane="bottomRight" state="frozen"/>
      <selection activeCell="B4" sqref="B4"/>
      <selection pane="topRight" activeCell="B4" sqref="B4"/>
      <selection pane="bottomLeft" activeCell="B4" sqref="B4"/>
      <selection pane="bottomRight" activeCell="B39" sqref="B39"/>
    </sheetView>
  </sheetViews>
  <sheetFormatPr defaultColWidth="9.1796875" defaultRowHeight="14.5" x14ac:dyDescent="0.35"/>
  <cols>
    <col min="1" max="7" width="16.26953125" style="1" customWidth="1"/>
    <col min="8" max="16384" width="9.1796875" style="1"/>
  </cols>
  <sheetData>
    <row r="1" spans="1:10" ht="45.5" customHeight="1" x14ac:dyDescent="0.35"/>
    <row r="2" spans="1:10" ht="15" customHeight="1" x14ac:dyDescent="0.35">
      <c r="A2" s="31" t="s">
        <v>6</v>
      </c>
      <c r="B2" s="31"/>
      <c r="C2" s="31"/>
      <c r="D2" s="31"/>
      <c r="E2" s="31"/>
      <c r="F2" s="31"/>
      <c r="G2" s="31"/>
    </row>
    <row r="3" spans="1:10" ht="15" customHeight="1" thickBot="1" x14ac:dyDescent="0.4">
      <c r="A3" s="32" t="s">
        <v>24</v>
      </c>
      <c r="B3" s="32"/>
      <c r="C3" s="32"/>
      <c r="D3" s="32"/>
      <c r="E3" s="32"/>
      <c r="F3" s="32"/>
      <c r="G3" s="32"/>
    </row>
    <row r="4" spans="1:10" ht="51" customHeight="1" thickBot="1" x14ac:dyDescent="0.4">
      <c r="A4" s="2" t="s">
        <v>0</v>
      </c>
      <c r="B4" s="3" t="s">
        <v>8</v>
      </c>
      <c r="C4" s="3" t="s">
        <v>2</v>
      </c>
      <c r="D4" s="3" t="s">
        <v>3</v>
      </c>
      <c r="E4" s="3" t="s">
        <v>7</v>
      </c>
      <c r="F4" s="3" t="s">
        <v>5</v>
      </c>
      <c r="G4" s="3" t="s">
        <v>4</v>
      </c>
    </row>
    <row r="5" spans="1:10" x14ac:dyDescent="0.35">
      <c r="A5" s="4">
        <v>45292</v>
      </c>
      <c r="B5" s="15">
        <v>2.0219000000000001E-2</v>
      </c>
      <c r="C5" s="5">
        <v>1.149551</v>
      </c>
      <c r="D5" s="5">
        <v>5.6294817581899999</v>
      </c>
      <c r="E5" s="5">
        <f t="shared" ref="E5:E9" si="0">C5/B5</f>
        <v>56.854987882684604</v>
      </c>
      <c r="F5" s="18">
        <f t="shared" ref="F5:F9" si="1">1000*D5/B5</f>
        <v>278425.33054008603</v>
      </c>
      <c r="G5" s="18">
        <f t="shared" ref="G5:G9" si="2">F5/E5</f>
        <v>4897.1135323182698</v>
      </c>
      <c r="H5" s="25"/>
      <c r="I5" s="25"/>
      <c r="J5" s="25"/>
    </row>
    <row r="6" spans="1:10" x14ac:dyDescent="0.35">
      <c r="A6" s="7">
        <v>45323</v>
      </c>
      <c r="B6" s="16">
        <v>2.0303999999999999E-2</v>
      </c>
      <c r="C6" s="8">
        <v>1.1586350000000001</v>
      </c>
      <c r="D6" s="8">
        <v>5.7224705231600002</v>
      </c>
      <c r="E6" s="8">
        <f t="shared" si="0"/>
        <v>57.064371552403472</v>
      </c>
      <c r="F6" s="18">
        <f t="shared" si="1"/>
        <v>281839.56477344368</v>
      </c>
      <c r="G6" s="18">
        <f t="shared" si="2"/>
        <v>4938.976056445731</v>
      </c>
      <c r="H6" s="26"/>
      <c r="I6" s="26"/>
      <c r="J6" s="26"/>
    </row>
    <row r="7" spans="1:10" x14ac:dyDescent="0.35">
      <c r="A7" s="7">
        <v>45352</v>
      </c>
      <c r="B7" s="16">
        <v>2.0653000000000001E-2</v>
      </c>
      <c r="C7" s="8">
        <v>1.18557</v>
      </c>
      <c r="D7" s="8">
        <v>5.93613756417</v>
      </c>
      <c r="E7" s="8">
        <f t="shared" si="0"/>
        <v>57.404251198373117</v>
      </c>
      <c r="F7" s="18">
        <f t="shared" si="1"/>
        <v>287422.53252166754</v>
      </c>
      <c r="G7" s="18">
        <f t="shared" si="2"/>
        <v>5006.9903625850857</v>
      </c>
    </row>
    <row r="8" spans="1:10" x14ac:dyDescent="0.35">
      <c r="A8" s="7">
        <v>45383</v>
      </c>
      <c r="B8" s="16">
        <v>2.0604999999999998E-2</v>
      </c>
      <c r="C8" s="8">
        <v>1.210923</v>
      </c>
      <c r="D8" s="8">
        <v>6.0440419304099997</v>
      </c>
      <c r="E8" s="8">
        <f t="shared" si="0"/>
        <v>58.768405726765351</v>
      </c>
      <c r="F8" s="18">
        <f t="shared" si="1"/>
        <v>293328.89737490902</v>
      </c>
      <c r="G8" s="18">
        <f t="shared" si="2"/>
        <v>4991.2685863675888</v>
      </c>
    </row>
    <row r="9" spans="1:10" x14ac:dyDescent="0.35">
      <c r="A9" s="7">
        <v>45413</v>
      </c>
      <c r="B9" s="16">
        <v>2.0913000000000001E-2</v>
      </c>
      <c r="C9" s="8">
        <v>1.243573</v>
      </c>
      <c r="D9" s="8">
        <v>6.2781600040700001</v>
      </c>
      <c r="E9" s="8">
        <f t="shared" si="0"/>
        <v>59.464113231004639</v>
      </c>
      <c r="F9" s="18">
        <f t="shared" si="1"/>
        <v>300203.70124181133</v>
      </c>
      <c r="G9" s="18">
        <f t="shared" si="2"/>
        <v>5048.4852952500578</v>
      </c>
    </row>
    <row r="10" spans="1:10" x14ac:dyDescent="0.35">
      <c r="A10" s="7">
        <v>45444</v>
      </c>
      <c r="B10" s="16">
        <v>2.0754999999999999E-2</v>
      </c>
      <c r="C10" s="8">
        <v>1.25092</v>
      </c>
      <c r="D10" s="8">
        <v>6.3008488283300004</v>
      </c>
      <c r="E10" s="8">
        <f t="shared" ref="E10:E15" si="3">C10/B10</f>
        <v>60.270778125752834</v>
      </c>
      <c r="F10" s="18">
        <f t="shared" ref="F10:F15" si="4">1000*D10/B10</f>
        <v>303582.21288026986</v>
      </c>
      <c r="G10" s="18">
        <f t="shared" ref="G10:G15" si="5">F10/E10</f>
        <v>5036.9718513813841</v>
      </c>
    </row>
    <row r="11" spans="1:10" x14ac:dyDescent="0.35">
      <c r="A11" s="7">
        <v>45474</v>
      </c>
      <c r="B11" s="16">
        <v>2.0827999999999999E-2</v>
      </c>
      <c r="C11" s="8">
        <v>1.2544010000000001</v>
      </c>
      <c r="D11" s="8">
        <v>6.2957013587299997</v>
      </c>
      <c r="E11" s="8">
        <f t="shared" si="3"/>
        <v>60.226666026502791</v>
      </c>
      <c r="F11" s="18">
        <f t="shared" si="4"/>
        <v>302271.04660697136</v>
      </c>
      <c r="G11" s="18">
        <f t="shared" si="5"/>
        <v>5018.8905770403553</v>
      </c>
    </row>
    <row r="12" spans="1:10" x14ac:dyDescent="0.35">
      <c r="A12" s="7">
        <v>45505</v>
      </c>
      <c r="B12" s="16">
        <v>2.0631E-2</v>
      </c>
      <c r="C12" s="8">
        <v>1.258359</v>
      </c>
      <c r="D12" s="8">
        <v>6.30594036959</v>
      </c>
      <c r="E12" s="8">
        <f t="shared" si="3"/>
        <v>60.993601861276723</v>
      </c>
      <c r="F12" s="18">
        <f t="shared" si="4"/>
        <v>305653.64594978432</v>
      </c>
      <c r="G12" s="18">
        <f t="shared" si="5"/>
        <v>5011.2411240274041</v>
      </c>
    </row>
    <row r="13" spans="1:10" x14ac:dyDescent="0.35">
      <c r="A13" s="7">
        <v>45536</v>
      </c>
      <c r="B13" s="16">
        <v>2.0767000000000001E-2</v>
      </c>
      <c r="C13" s="8">
        <v>1.273711</v>
      </c>
      <c r="D13" s="8">
        <v>6.4140888043300004</v>
      </c>
      <c r="E13" s="8">
        <f t="shared" si="3"/>
        <v>61.333413588866954</v>
      </c>
      <c r="F13" s="18">
        <f t="shared" si="4"/>
        <v>308859.67180286028</v>
      </c>
      <c r="G13" s="18">
        <f t="shared" si="5"/>
        <v>5035.7489291762413</v>
      </c>
    </row>
    <row r="14" spans="1:10" x14ac:dyDescent="0.35">
      <c r="A14" s="7">
        <v>45566</v>
      </c>
      <c r="B14" s="16">
        <v>2.0924000000000002E-2</v>
      </c>
      <c r="C14" s="8">
        <v>1.293499</v>
      </c>
      <c r="D14" s="8">
        <v>6.5342940262899996</v>
      </c>
      <c r="E14" s="8">
        <f t="shared" si="3"/>
        <v>61.818916077231883</v>
      </c>
      <c r="F14" s="18">
        <f t="shared" si="4"/>
        <v>312287.04006356333</v>
      </c>
      <c r="G14" s="18">
        <f t="shared" si="5"/>
        <v>5051.6421166850532</v>
      </c>
    </row>
    <row r="15" spans="1:10" x14ac:dyDescent="0.35">
      <c r="A15" s="7">
        <v>45597</v>
      </c>
      <c r="B15" s="16">
        <v>2.1228E-2</v>
      </c>
      <c r="C15" s="8">
        <v>1.2738100000000001</v>
      </c>
      <c r="D15" s="8">
        <v>6.4180118155799999</v>
      </c>
      <c r="E15" s="8">
        <f t="shared" si="3"/>
        <v>60.00612398718674</v>
      </c>
      <c r="F15" s="18">
        <f t="shared" si="4"/>
        <v>302337.09325325041</v>
      </c>
      <c r="G15" s="18">
        <f t="shared" si="5"/>
        <v>5038.4372987965235</v>
      </c>
    </row>
    <row r="16" spans="1:10" ht="15" thickBot="1" x14ac:dyDescent="0.4">
      <c r="A16" s="9">
        <v>45627</v>
      </c>
      <c r="B16" s="17">
        <v>2.2065999999999999E-2</v>
      </c>
      <c r="C16" s="10">
        <v>1.285652</v>
      </c>
      <c r="D16" s="10">
        <v>6.4481430250900003</v>
      </c>
      <c r="E16" s="10">
        <f t="shared" ref="E16:E22" si="6">C16/B16</f>
        <v>58.263935466328292</v>
      </c>
      <c r="F16" s="20">
        <f t="shared" ref="F16:F22" si="7">1000*D16/B16</f>
        <v>292220.74798740144</v>
      </c>
      <c r="G16" s="20">
        <f t="shared" ref="G16:G22" si="8">F16/E16</f>
        <v>5015.4653242790428</v>
      </c>
    </row>
    <row r="17" spans="1:10" x14ac:dyDescent="0.35">
      <c r="A17" s="4">
        <v>45658</v>
      </c>
      <c r="B17" s="15">
        <v>2.2055999999999999E-2</v>
      </c>
      <c r="C17" s="5">
        <v>1.301247</v>
      </c>
      <c r="D17" s="5">
        <v>6.5464670626599997</v>
      </c>
      <c r="E17" s="5">
        <f t="shared" si="6"/>
        <v>58.997415669205665</v>
      </c>
      <c r="F17" s="18">
        <f t="shared" si="7"/>
        <v>296811.16533641639</v>
      </c>
      <c r="G17" s="18">
        <f t="shared" si="8"/>
        <v>5030.9180829312181</v>
      </c>
      <c r="H17" s="25"/>
      <c r="I17" s="25"/>
      <c r="J17" s="25"/>
    </row>
    <row r="18" spans="1:10" x14ac:dyDescent="0.35">
      <c r="A18" s="7">
        <v>45689</v>
      </c>
      <c r="B18" s="16">
        <v>2.2089999999999999E-2</v>
      </c>
      <c r="C18" s="8">
        <v>1.377807</v>
      </c>
      <c r="D18" s="8">
        <v>6.9955756929500001</v>
      </c>
      <c r="E18" s="8">
        <f t="shared" si="6"/>
        <v>62.372430964237218</v>
      </c>
      <c r="F18" s="18">
        <f t="shared" si="7"/>
        <v>316685.18302172935</v>
      </c>
      <c r="G18" s="18">
        <f t="shared" si="8"/>
        <v>5077.3262822369179</v>
      </c>
      <c r="H18" s="29"/>
      <c r="I18" s="26"/>
      <c r="J18" s="26"/>
    </row>
    <row r="19" spans="1:10" x14ac:dyDescent="0.35">
      <c r="A19" s="7">
        <v>45717</v>
      </c>
      <c r="B19" s="16">
        <v>2.2700999999999999E-2</v>
      </c>
      <c r="C19" s="8">
        <v>1.381961</v>
      </c>
      <c r="D19" s="8">
        <v>7.1954667665000001</v>
      </c>
      <c r="E19" s="8">
        <f t="shared" si="6"/>
        <v>60.876657415972865</v>
      </c>
      <c r="F19" s="18">
        <f t="shared" si="7"/>
        <v>316966.95152195939</v>
      </c>
      <c r="G19" s="18">
        <f t="shared" si="8"/>
        <v>5206.7075456543271</v>
      </c>
      <c r="H19" s="29"/>
    </row>
    <row r="20" spans="1:10" x14ac:dyDescent="0.35">
      <c r="A20" s="7">
        <v>45748</v>
      </c>
      <c r="B20" s="16">
        <v>2.2824000000000001E-2</v>
      </c>
      <c r="C20" s="8">
        <v>1.4413819999999999</v>
      </c>
      <c r="D20" s="8">
        <v>7.4785918069999999</v>
      </c>
      <c r="E20" s="8">
        <f t="shared" si="6"/>
        <v>63.152032947774266</v>
      </c>
      <c r="F20" s="18">
        <f t="shared" si="7"/>
        <v>327663.50363652292</v>
      </c>
      <c r="G20" s="18">
        <f t="shared" si="8"/>
        <v>5188.4870263399989</v>
      </c>
      <c r="H20" s="29"/>
    </row>
    <row r="21" spans="1:10" x14ac:dyDescent="0.35">
      <c r="A21" s="7">
        <v>45778</v>
      </c>
      <c r="B21" s="16">
        <v>2.2726E-2</v>
      </c>
      <c r="C21" s="8">
        <v>1.446628</v>
      </c>
      <c r="D21" s="8">
        <v>7.536219419</v>
      </c>
      <c r="E21" s="8">
        <f t="shared" si="6"/>
        <v>63.655196691014702</v>
      </c>
      <c r="F21" s="18">
        <f t="shared" si="7"/>
        <v>331612.22472058435</v>
      </c>
      <c r="G21" s="18">
        <f t="shared" si="8"/>
        <v>5209.507502274254</v>
      </c>
      <c r="H21" s="29"/>
    </row>
    <row r="22" spans="1:10" x14ac:dyDescent="0.35">
      <c r="A22" s="7">
        <v>45809</v>
      </c>
      <c r="B22" s="16">
        <v>2.2995000000000002E-2</v>
      </c>
      <c r="C22" s="8">
        <v>1.5545199999999999</v>
      </c>
      <c r="D22" s="8">
        <v>7.9963940249999998</v>
      </c>
      <c r="E22" s="8">
        <f t="shared" si="6"/>
        <v>67.60252228745378</v>
      </c>
      <c r="F22" s="18">
        <f t="shared" si="7"/>
        <v>347744.90215264185</v>
      </c>
      <c r="G22" s="18">
        <f t="shared" si="8"/>
        <v>5143.9634260093153</v>
      </c>
      <c r="H22" s="29"/>
    </row>
    <row r="23" spans="1:10" x14ac:dyDescent="0.35">
      <c r="A23" s="7">
        <v>45839</v>
      </c>
      <c r="B23" s="16">
        <v>2.2875E-2</v>
      </c>
      <c r="C23" s="8">
        <v>1.567752</v>
      </c>
      <c r="D23" s="8">
        <v>8.0046750299999996</v>
      </c>
      <c r="E23" s="8">
        <f t="shared" ref="E23:E28" si="9">C23/B23</f>
        <v>68.535606557377051</v>
      </c>
      <c r="F23" s="18">
        <f t="shared" ref="F23:F28" si="10">1000*D23/B23</f>
        <v>349931.14885245898</v>
      </c>
      <c r="G23" s="18">
        <f t="shared" ref="G23:G28" si="11">F23/E23</f>
        <v>5105.8298952895602</v>
      </c>
      <c r="H23" s="29"/>
    </row>
    <row r="24" spans="1:10" x14ac:dyDescent="0.35">
      <c r="A24" s="7">
        <v>45870</v>
      </c>
      <c r="B24" s="16">
        <v>2.3052E-2</v>
      </c>
      <c r="C24" s="8">
        <v>1.6211150000000001</v>
      </c>
      <c r="D24" s="8">
        <v>8.3612177879999994</v>
      </c>
      <c r="E24" s="8">
        <f t="shared" si="9"/>
        <v>70.324266874891549</v>
      </c>
      <c r="F24" s="18">
        <f t="shared" si="10"/>
        <v>362711.1655387819</v>
      </c>
      <c r="G24" s="18">
        <f t="shared" si="11"/>
        <v>5157.6956526834929</v>
      </c>
      <c r="H24" s="29"/>
    </row>
    <row r="25" spans="1:10" x14ac:dyDescent="0.35">
      <c r="A25" s="7">
        <v>45901</v>
      </c>
      <c r="B25" s="16">
        <v>2.3311999999999999E-2</v>
      </c>
      <c r="C25" s="8">
        <v>1.6263000000000001</v>
      </c>
      <c r="D25" s="8">
        <v>8.3435494180000003</v>
      </c>
      <c r="E25" s="8">
        <f t="shared" si="9"/>
        <v>69.762354152367891</v>
      </c>
      <c r="F25" s="18">
        <f t="shared" si="10"/>
        <v>357907.91944063146</v>
      </c>
      <c r="G25" s="18">
        <f t="shared" si="11"/>
        <v>5130.3876394269191</v>
      </c>
      <c r="H25" s="29"/>
    </row>
    <row r="26" spans="1:10" x14ac:dyDescent="0.35">
      <c r="A26" s="7">
        <v>45931</v>
      </c>
      <c r="B26" s="16">
        <v>2.3847E-2</v>
      </c>
      <c r="C26" s="8">
        <v>1.629699</v>
      </c>
      <c r="D26" s="8">
        <v>8.3647039719999992</v>
      </c>
      <c r="E26" s="8">
        <f t="shared" si="9"/>
        <v>68.339791168700472</v>
      </c>
      <c r="F26" s="18">
        <f t="shared" si="10"/>
        <v>350765.46198683267</v>
      </c>
      <c r="G26" s="18">
        <f t="shared" si="11"/>
        <v>5132.6680399263896</v>
      </c>
      <c r="H26" s="29"/>
    </row>
    <row r="27" spans="1:10" x14ac:dyDescent="0.35">
      <c r="A27" s="7">
        <v>45962</v>
      </c>
      <c r="B27" s="16">
        <v>2.3584000000000001E-2</v>
      </c>
      <c r="C27" s="8">
        <v>1.6040620000000001</v>
      </c>
      <c r="D27" s="8">
        <v>8.4509955239999996</v>
      </c>
      <c r="E27" s="8">
        <f t="shared" si="9"/>
        <v>68.01484056987789</v>
      </c>
      <c r="F27" s="18">
        <f t="shared" si="10"/>
        <v>358335.97031886026</v>
      </c>
      <c r="G27" s="18">
        <f t="shared" si="11"/>
        <v>5268.4968062331754</v>
      </c>
      <c r="H27" s="29"/>
    </row>
    <row r="28" spans="1:10" ht="15" thickBot="1" x14ac:dyDescent="0.4">
      <c r="A28" s="9">
        <v>45992</v>
      </c>
      <c r="B28" s="17">
        <v>2.4108999999999998E-2</v>
      </c>
      <c r="C28" s="10">
        <v>1.633248</v>
      </c>
      <c r="D28" s="10">
        <v>8.593236332</v>
      </c>
      <c r="E28" s="10">
        <f t="shared" si="9"/>
        <v>67.744327844373473</v>
      </c>
      <c r="F28" s="20">
        <f t="shared" si="10"/>
        <v>356432.71525156585</v>
      </c>
      <c r="G28" s="20">
        <f t="shared" si="11"/>
        <v>5261.4399846196047</v>
      </c>
      <c r="H28" s="29"/>
    </row>
    <row r="29" spans="1:10" x14ac:dyDescent="0.35">
      <c r="A29" s="4">
        <v>46023</v>
      </c>
      <c r="B29" s="15">
        <v>2.4050999999999999E-2</v>
      </c>
      <c r="C29" s="5">
        <v>1.531989</v>
      </c>
      <c r="D29" s="5">
        <v>8.0520471990000004</v>
      </c>
      <c r="E29" s="5">
        <f t="shared" ref="E29:E30" si="12">C29/B29</f>
        <v>63.697517774728702</v>
      </c>
      <c r="F29" s="18">
        <f t="shared" ref="F29:F30" si="13">1000*D29/B29</f>
        <v>334790.53673443937</v>
      </c>
      <c r="G29" s="18">
        <f t="shared" ref="G29:G30" si="14">F29/E29</f>
        <v>5255.9432208716908</v>
      </c>
      <c r="H29" s="25"/>
      <c r="I29" s="25"/>
      <c r="J29" s="25"/>
    </row>
    <row r="30" spans="1:10" x14ac:dyDescent="0.35">
      <c r="A30" s="7">
        <v>46054</v>
      </c>
      <c r="B30" s="16">
        <v>2.4088999999999999E-2</v>
      </c>
      <c r="C30" s="8">
        <v>1.554495</v>
      </c>
      <c r="D30" s="8">
        <v>8.1651902980000006</v>
      </c>
      <c r="E30" s="8">
        <f t="shared" si="12"/>
        <v>64.531321349993775</v>
      </c>
      <c r="F30" s="18">
        <f t="shared" si="13"/>
        <v>338959.2883888912</v>
      </c>
      <c r="G30" s="18">
        <f t="shared" si="14"/>
        <v>5252.6320753685277</v>
      </c>
      <c r="H30" s="29"/>
      <c r="I30" s="26"/>
      <c r="J30" s="26"/>
    </row>
    <row r="31" spans="1:10" x14ac:dyDescent="0.35">
      <c r="A31" s="7">
        <v>46082</v>
      </c>
      <c r="B31" s="16">
        <v>2.4407999999999999E-2</v>
      </c>
      <c r="C31" s="8">
        <v>1.615075</v>
      </c>
      <c r="D31" s="8">
        <v>8.5317039210000001</v>
      </c>
      <c r="E31" s="8">
        <f t="shared" ref="E31" si="15">C31/B31</f>
        <v>66.16990331039004</v>
      </c>
      <c r="F31" s="18">
        <f t="shared" ref="F31" si="16">1000*D31/B31</f>
        <v>349545.39171583089</v>
      </c>
      <c r="G31" s="18">
        <f t="shared" ref="G31" si="17">F31/E31</f>
        <v>5282.5434862158099</v>
      </c>
      <c r="H31" s="29"/>
    </row>
    <row r="32" spans="1:10" x14ac:dyDescent="0.35">
      <c r="A32" s="7">
        <v>46113</v>
      </c>
      <c r="B32" s="16">
        <v>2.4851999999999999E-2</v>
      </c>
      <c r="C32" s="8">
        <v>1.721271</v>
      </c>
      <c r="D32" s="8">
        <v>8.9648811960000003</v>
      </c>
      <c r="E32" s="8">
        <f t="shared" ref="E32" si="18">C32/B32</f>
        <v>69.260864316755189</v>
      </c>
      <c r="F32" s="18">
        <f t="shared" ref="F32" si="19">1000*D32/B32</f>
        <v>360730.7740222115</v>
      </c>
      <c r="G32" s="18">
        <f t="shared" ref="G32" si="20">F32/E32</f>
        <v>5208.291545026902</v>
      </c>
      <c r="H32" s="29"/>
    </row>
    <row r="33" spans="1:8" x14ac:dyDescent="0.35">
      <c r="A33" s="7">
        <v>46143</v>
      </c>
      <c r="B33" s="16">
        <v>2.5197000000000001E-2</v>
      </c>
      <c r="C33" s="8">
        <v>1.8125560000000001</v>
      </c>
      <c r="D33" s="8">
        <v>9.5554438279999996</v>
      </c>
      <c r="E33" s="8">
        <f t="shared" ref="E33" si="21">C33/B33</f>
        <v>71.935389133627012</v>
      </c>
      <c r="F33" s="18">
        <f t="shared" ref="F33" si="22">1000*D33/B33</f>
        <v>379229.42524903757</v>
      </c>
      <c r="G33" s="18">
        <f t="shared" ref="G33" si="23">F33/E33</f>
        <v>5271.8061279210133</v>
      </c>
      <c r="H33" s="29"/>
    </row>
    <row r="34" spans="1:8" x14ac:dyDescent="0.35">
      <c r="A34" s="7">
        <v>46174</v>
      </c>
      <c r="B34" s="16">
        <v>2.563E-2</v>
      </c>
      <c r="C34" s="8">
        <v>1.8834610000000001</v>
      </c>
      <c r="D34" s="8">
        <v>9.8022194240000005</v>
      </c>
      <c r="E34" s="8">
        <f t="shared" ref="E34" si="24">C34/B34</f>
        <v>73.486578228638322</v>
      </c>
      <c r="F34" s="18">
        <f t="shared" ref="F34" si="25">1000*D34/B34</f>
        <v>382451.01147093251</v>
      </c>
      <c r="G34" s="18">
        <f t="shared" ref="G34" si="26">F34/E34</f>
        <v>5204.3654867289524</v>
      </c>
      <c r="H34" s="29"/>
    </row>
    <row r="35" spans="1:8" x14ac:dyDescent="0.35">
      <c r="A35" s="7">
        <v>46204</v>
      </c>
      <c r="B35" s="16">
        <v>2.5812999999999999E-2</v>
      </c>
      <c r="C35" s="8">
        <v>1.932061</v>
      </c>
      <c r="D35" s="8">
        <v>10.082752917000001</v>
      </c>
      <c r="E35" s="8">
        <f t="shared" ref="E35" si="27">C35/B35</f>
        <v>74.848370975864881</v>
      </c>
      <c r="F35" s="18">
        <f t="shared" ref="F35" si="28">1000*D35/B35</f>
        <v>390607.55886568781</v>
      </c>
      <c r="G35" s="18">
        <f t="shared" ref="G35" si="29">F35/E35</f>
        <v>5218.6514385415358</v>
      </c>
      <c r="H35" s="29"/>
    </row>
    <row r="36" spans="1:8" x14ac:dyDescent="0.35">
      <c r="A36" s="7">
        <v>46235</v>
      </c>
      <c r="B36" s="16"/>
      <c r="C36" s="8"/>
      <c r="D36" s="8"/>
      <c r="E36" s="8"/>
      <c r="F36" s="18"/>
      <c r="G36" s="18"/>
      <c r="H36" s="29"/>
    </row>
    <row r="37" spans="1:8" x14ac:dyDescent="0.35">
      <c r="A37" s="7">
        <v>46266</v>
      </c>
      <c r="B37" s="16"/>
      <c r="C37" s="8"/>
      <c r="D37" s="8"/>
      <c r="E37" s="8"/>
      <c r="F37" s="18"/>
      <c r="G37" s="18"/>
      <c r="H37" s="29"/>
    </row>
    <row r="38" spans="1:8" x14ac:dyDescent="0.35">
      <c r="A38" s="7">
        <v>46296</v>
      </c>
      <c r="B38" s="16"/>
      <c r="C38" s="8"/>
      <c r="D38" s="8"/>
      <c r="E38" s="8"/>
      <c r="F38" s="18"/>
      <c r="G38" s="18"/>
      <c r="H38" s="29"/>
    </row>
    <row r="39" spans="1:8" x14ac:dyDescent="0.35">
      <c r="A39" s="7">
        <v>46327</v>
      </c>
      <c r="B39" s="16"/>
      <c r="C39" s="8"/>
      <c r="D39" s="8"/>
      <c r="E39" s="8"/>
      <c r="F39" s="18"/>
      <c r="G39" s="18"/>
      <c r="H39" s="29"/>
    </row>
    <row r="40" spans="1:8" ht="15" thickBot="1" x14ac:dyDescent="0.4">
      <c r="A40" s="9">
        <v>46357</v>
      </c>
      <c r="B40" s="17"/>
      <c r="C40" s="10"/>
      <c r="D40" s="10"/>
      <c r="E40" s="10"/>
      <c r="F40" s="20"/>
      <c r="G40" s="20"/>
      <c r="H40" s="29"/>
    </row>
  </sheetData>
  <mergeCells count="2">
    <mergeCell ref="A2:G2"/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7173-1669-4E9F-AB7C-688A851429D9}">
  <dimension ref="A1:M39"/>
  <sheetViews>
    <sheetView zoomScale="90" zoomScaleNormal="90" workbookViewId="0">
      <pane xSplit="1" ySplit="3" topLeftCell="B28" activePane="bottomRight" state="frozen"/>
      <selection activeCell="J92" sqref="J92"/>
      <selection pane="topRight" activeCell="J92" sqref="J92"/>
      <selection pane="bottomLeft" activeCell="J92" sqref="J92"/>
      <selection pane="bottomRight" activeCell="B34" sqref="B34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31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14991</v>
      </c>
      <c r="C4" s="21">
        <v>99339</v>
      </c>
      <c r="D4" s="21">
        <v>351821103.70999998</v>
      </c>
      <c r="E4" s="5">
        <f t="shared" ref="E4:E7" si="0">C4/B4</f>
        <v>6.6265759455673408</v>
      </c>
      <c r="F4" s="18">
        <f t="shared" ref="F4:F7" si="1">D4/B4</f>
        <v>23468.821540257486</v>
      </c>
      <c r="G4" s="18">
        <f t="shared" ref="G4:G9" si="2">F4/E4</f>
        <v>3541.6211529208063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14972</v>
      </c>
      <c r="C5" s="22">
        <v>99627</v>
      </c>
      <c r="D5" s="22">
        <v>357072478.69999999</v>
      </c>
      <c r="E5" s="8">
        <f t="shared" si="0"/>
        <v>6.6542212129308043</v>
      </c>
      <c r="F5" s="18">
        <f t="shared" si="1"/>
        <v>23849.350701309111</v>
      </c>
      <c r="G5" s="18">
        <f t="shared" si="2"/>
        <v>3584.0934555893482</v>
      </c>
      <c r="H5" s="28"/>
    </row>
    <row r="6" spans="1:13" x14ac:dyDescent="0.35">
      <c r="A6" s="7">
        <v>45352</v>
      </c>
      <c r="B6" s="22">
        <v>15027</v>
      </c>
      <c r="C6" s="22">
        <v>100054</v>
      </c>
      <c r="D6" s="22">
        <v>363590601.03000003</v>
      </c>
      <c r="E6" s="8">
        <f t="shared" si="0"/>
        <v>6.6582817594995678</v>
      </c>
      <c r="F6" s="18">
        <f t="shared" si="1"/>
        <v>24195.820924336196</v>
      </c>
      <c r="G6" s="18">
        <f t="shared" si="2"/>
        <v>3633.9436807124152</v>
      </c>
      <c r="H6" s="28"/>
    </row>
    <row r="7" spans="1:13" x14ac:dyDescent="0.35">
      <c r="A7" s="7">
        <v>45383</v>
      </c>
      <c r="B7" s="22">
        <v>15147</v>
      </c>
      <c r="C7" s="22">
        <v>101398</v>
      </c>
      <c r="D7" s="22">
        <v>375259315.37</v>
      </c>
      <c r="E7" s="8">
        <f t="shared" si="0"/>
        <v>6.6942628903413217</v>
      </c>
      <c r="F7" s="18">
        <f t="shared" si="1"/>
        <v>24774.497614709184</v>
      </c>
      <c r="G7" s="18">
        <f t="shared" si="2"/>
        <v>3700.8551980315196</v>
      </c>
      <c r="H7" s="28"/>
    </row>
    <row r="8" spans="1:13" x14ac:dyDescent="0.35">
      <c r="A8" s="7">
        <v>45413</v>
      </c>
      <c r="B8" s="22">
        <v>15182</v>
      </c>
      <c r="C8" s="22">
        <v>102838</v>
      </c>
      <c r="D8" s="22">
        <v>386643786.55000007</v>
      </c>
      <c r="E8" s="8">
        <f t="shared" ref="E8:E23" si="3">C8/B8</f>
        <v>6.7736793571334477</v>
      </c>
      <c r="F8" s="18">
        <f t="shared" ref="F8:F23" si="4">D8/B8</f>
        <v>25467.249805690954</v>
      </c>
      <c r="G8" s="18">
        <f t="shared" si="2"/>
        <v>3759.7365424259519</v>
      </c>
      <c r="H8" s="28"/>
    </row>
    <row r="9" spans="1:13" x14ac:dyDescent="0.35">
      <c r="A9" s="7">
        <v>45444</v>
      </c>
      <c r="B9" s="22">
        <v>15258</v>
      </c>
      <c r="C9" s="22">
        <v>103310</v>
      </c>
      <c r="D9" s="22">
        <v>391754742.01999998</v>
      </c>
      <c r="E9" s="8">
        <f t="shared" si="3"/>
        <v>6.7708742954515664</v>
      </c>
      <c r="F9" s="18">
        <f t="shared" si="4"/>
        <v>25675.36649757504</v>
      </c>
      <c r="G9" s="18">
        <f t="shared" si="2"/>
        <v>3792.031187881134</v>
      </c>
      <c r="H9" s="28"/>
    </row>
    <row r="10" spans="1:13" x14ac:dyDescent="0.35">
      <c r="A10" s="7">
        <v>45474</v>
      </c>
      <c r="B10" s="22">
        <v>15155</v>
      </c>
      <c r="C10" s="22">
        <v>103121</v>
      </c>
      <c r="D10" s="22">
        <v>396340246.18000001</v>
      </c>
      <c r="E10" s="8">
        <f t="shared" si="3"/>
        <v>6.8044209831738698</v>
      </c>
      <c r="F10" s="18">
        <f t="shared" si="4"/>
        <v>26152.441186407126</v>
      </c>
      <c r="G10" s="18">
        <f t="shared" ref="G10:G15" si="5">F10/E10</f>
        <v>3843.4484361090372</v>
      </c>
      <c r="H10" s="28"/>
    </row>
    <row r="11" spans="1:13" x14ac:dyDescent="0.35">
      <c r="A11" s="7">
        <v>45505</v>
      </c>
      <c r="B11" s="22">
        <v>15129</v>
      </c>
      <c r="C11" s="22">
        <v>103886</v>
      </c>
      <c r="D11" s="22">
        <v>400636457.47999996</v>
      </c>
      <c r="E11" s="8">
        <f t="shared" si="3"/>
        <v>6.8666798863110579</v>
      </c>
      <c r="F11" s="18">
        <f t="shared" si="4"/>
        <v>26481.35749091149</v>
      </c>
      <c r="G11" s="18">
        <f t="shared" si="5"/>
        <v>3856.500947962189</v>
      </c>
      <c r="H11" s="28"/>
    </row>
    <row r="12" spans="1:13" x14ac:dyDescent="0.35">
      <c r="A12" s="7">
        <v>45536</v>
      </c>
      <c r="B12" s="22">
        <v>15084</v>
      </c>
      <c r="C12" s="22">
        <v>103983</v>
      </c>
      <c r="D12" s="22">
        <v>408957358.64999986</v>
      </c>
      <c r="E12" s="8">
        <f t="shared" si="3"/>
        <v>6.8935958631662686</v>
      </c>
      <c r="F12" s="18">
        <f t="shared" si="4"/>
        <v>27111.996728321392</v>
      </c>
      <c r="G12" s="18">
        <f t="shared" si="5"/>
        <v>3932.925176711577</v>
      </c>
      <c r="H12" s="28"/>
    </row>
    <row r="13" spans="1:13" x14ac:dyDescent="0.35">
      <c r="A13" s="7">
        <v>45566</v>
      </c>
      <c r="B13" s="22">
        <v>15192</v>
      </c>
      <c r="C13" s="22">
        <v>106151</v>
      </c>
      <c r="D13" s="22">
        <v>424826448.20999998</v>
      </c>
      <c r="E13" s="8">
        <f t="shared" si="3"/>
        <v>6.9872959452343339</v>
      </c>
      <c r="F13" s="18">
        <f t="shared" si="4"/>
        <v>27963.826238151658</v>
      </c>
      <c r="G13" s="18">
        <f t="shared" si="5"/>
        <v>4002.0955828018577</v>
      </c>
      <c r="H13" s="28"/>
    </row>
    <row r="14" spans="1:13" x14ac:dyDescent="0.35">
      <c r="A14" s="7">
        <v>45597</v>
      </c>
      <c r="B14" s="22">
        <v>14292</v>
      </c>
      <c r="C14" s="22">
        <v>83678</v>
      </c>
      <c r="D14" s="22">
        <v>322296222.87999994</v>
      </c>
      <c r="E14" s="8">
        <f t="shared" si="3"/>
        <v>5.8548838511055132</v>
      </c>
      <c r="F14" s="18">
        <f t="shared" si="4"/>
        <v>22550.813243772736</v>
      </c>
      <c r="G14" s="18">
        <f t="shared" si="5"/>
        <v>3851.6243562226628</v>
      </c>
      <c r="H14" s="28"/>
    </row>
    <row r="15" spans="1:13" ht="15" thickBot="1" x14ac:dyDescent="0.4">
      <c r="A15" s="9">
        <v>45627</v>
      </c>
      <c r="B15" s="23">
        <v>14108</v>
      </c>
      <c r="C15" s="23">
        <v>82429</v>
      </c>
      <c r="D15" s="23">
        <v>316973915.56000006</v>
      </c>
      <c r="E15" s="10">
        <f t="shared" si="3"/>
        <v>5.8427133541253191</v>
      </c>
      <c r="F15" s="20">
        <f t="shared" si="4"/>
        <v>22467.671927984127</v>
      </c>
      <c r="G15" s="20">
        <f t="shared" si="5"/>
        <v>3845.4174569629627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14418</v>
      </c>
      <c r="C16" s="21">
        <v>84309</v>
      </c>
      <c r="D16" s="21">
        <v>327265827.04000014</v>
      </c>
      <c r="E16" s="5">
        <f t="shared" si="3"/>
        <v>5.8474823137744485</v>
      </c>
      <c r="F16" s="18">
        <f t="shared" si="4"/>
        <v>22698.42051879596</v>
      </c>
      <c r="G16" s="18">
        <f t="shared" ref="G16:G22" si="6">F16/E16</f>
        <v>3881.7424834833782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14709</v>
      </c>
      <c r="C17" s="22">
        <v>87239</v>
      </c>
      <c r="D17" s="22">
        <v>345429298.61999983</v>
      </c>
      <c r="E17" s="8">
        <f t="shared" si="3"/>
        <v>5.9309946291386222</v>
      </c>
      <c r="F17" s="18">
        <f t="shared" si="4"/>
        <v>23484.213652865579</v>
      </c>
      <c r="G17" s="18">
        <f t="shared" si="6"/>
        <v>3959.5742571556279</v>
      </c>
      <c r="H17" s="28"/>
    </row>
    <row r="18" spans="1:13" x14ac:dyDescent="0.35">
      <c r="A18" s="7">
        <v>45717</v>
      </c>
      <c r="B18" s="22">
        <v>15069</v>
      </c>
      <c r="C18" s="22">
        <v>88948</v>
      </c>
      <c r="D18" s="22">
        <v>349681688.62</v>
      </c>
      <c r="E18" s="8">
        <f t="shared" si="3"/>
        <v>5.9027141814320787</v>
      </c>
      <c r="F18" s="18">
        <f t="shared" si="4"/>
        <v>23205.367882407591</v>
      </c>
      <c r="G18" s="18">
        <f t="shared" si="6"/>
        <v>3931.3046793632234</v>
      </c>
      <c r="H18" s="28"/>
    </row>
    <row r="19" spans="1:13" x14ac:dyDescent="0.35">
      <c r="A19" s="7">
        <v>45748</v>
      </c>
      <c r="B19" s="22">
        <v>15462</v>
      </c>
      <c r="C19" s="22">
        <v>91447</v>
      </c>
      <c r="D19" s="22">
        <v>364372178</v>
      </c>
      <c r="E19" s="8">
        <f t="shared" si="3"/>
        <v>5.9143060406157026</v>
      </c>
      <c r="F19" s="18">
        <f t="shared" si="4"/>
        <v>23565.656318716854</v>
      </c>
      <c r="G19" s="18">
        <f t="shared" si="6"/>
        <v>3984.5175675527903</v>
      </c>
      <c r="H19" s="28"/>
    </row>
    <row r="20" spans="1:13" x14ac:dyDescent="0.35">
      <c r="A20" s="7">
        <v>45778</v>
      </c>
      <c r="B20" s="22">
        <v>15814</v>
      </c>
      <c r="C20" s="22">
        <v>93260</v>
      </c>
      <c r="D20" s="22">
        <v>379360999</v>
      </c>
      <c r="E20" s="8">
        <f t="shared" si="3"/>
        <v>5.8973061843935755</v>
      </c>
      <c r="F20" s="18">
        <f t="shared" si="4"/>
        <v>23988.933792841784</v>
      </c>
      <c r="G20" s="18">
        <f t="shared" si="6"/>
        <v>4067.7782436199868</v>
      </c>
      <c r="H20" s="28"/>
    </row>
    <row r="21" spans="1:13" x14ac:dyDescent="0.35">
      <c r="A21" s="7">
        <v>45809</v>
      </c>
      <c r="B21" s="22">
        <v>15897</v>
      </c>
      <c r="C21" s="22">
        <v>93314</v>
      </c>
      <c r="D21" s="22">
        <v>379210209</v>
      </c>
      <c r="E21" s="8">
        <f t="shared" si="3"/>
        <v>5.869912562118639</v>
      </c>
      <c r="F21" s="18">
        <f t="shared" si="4"/>
        <v>23854.199471598415</v>
      </c>
      <c r="G21" s="18">
        <f t="shared" si="6"/>
        <v>4063.8083138650145</v>
      </c>
      <c r="H21" s="28"/>
    </row>
    <row r="22" spans="1:13" x14ac:dyDescent="0.35">
      <c r="A22" s="7">
        <v>45839</v>
      </c>
      <c r="B22" s="22">
        <v>16183</v>
      </c>
      <c r="C22" s="22">
        <v>95043</v>
      </c>
      <c r="D22" s="22">
        <v>388784565</v>
      </c>
      <c r="E22" s="8">
        <f t="shared" si="3"/>
        <v>5.8730148921707963</v>
      </c>
      <c r="F22" s="18">
        <f t="shared" si="4"/>
        <v>24024.257863189767</v>
      </c>
      <c r="G22" s="18">
        <f t="shared" si="6"/>
        <v>4090.6175625769388</v>
      </c>
      <c r="H22" s="28"/>
    </row>
    <row r="23" spans="1:13" x14ac:dyDescent="0.35">
      <c r="A23" s="7">
        <v>45870</v>
      </c>
      <c r="B23" s="22">
        <v>16461</v>
      </c>
      <c r="C23" s="22">
        <v>96935</v>
      </c>
      <c r="D23" s="22">
        <v>398492158</v>
      </c>
      <c r="E23" s="8">
        <f t="shared" si="3"/>
        <v>5.8887673895875094</v>
      </c>
      <c r="F23" s="18">
        <f t="shared" si="4"/>
        <v>24208.259401008443</v>
      </c>
      <c r="G23" s="18">
        <f>F23/E23</f>
        <v>4110.9213184092432</v>
      </c>
    </row>
    <row r="24" spans="1:13" x14ac:dyDescent="0.35">
      <c r="A24" s="7">
        <v>45901</v>
      </c>
      <c r="B24" s="22">
        <v>17006</v>
      </c>
      <c r="C24" s="22">
        <v>99348</v>
      </c>
      <c r="D24" s="22">
        <v>411272398</v>
      </c>
      <c r="E24" s="8">
        <f t="shared" ref="E24:E34" si="7">IFERROR(C24/B24,"")</f>
        <v>5.8419381394801837</v>
      </c>
      <c r="F24" s="18">
        <f t="shared" ref="F24:F34" si="8">IFERROR(D24/B24,"")</f>
        <v>24183.958485240502</v>
      </c>
      <c r="G24" s="18">
        <f t="shared" ref="G24:G29" si="9">IFERROR(F24/E24,"")</f>
        <v>4139.7149212867898</v>
      </c>
    </row>
    <row r="25" spans="1:13" x14ac:dyDescent="0.35">
      <c r="A25" s="7">
        <v>45931</v>
      </c>
      <c r="B25" s="22">
        <v>17488</v>
      </c>
      <c r="C25" s="22">
        <v>101975</v>
      </c>
      <c r="D25" s="22">
        <v>419696910</v>
      </c>
      <c r="E25" s="8">
        <f t="shared" si="7"/>
        <v>5.831141354071363</v>
      </c>
      <c r="F25" s="18">
        <f t="shared" si="8"/>
        <v>23999.137122598353</v>
      </c>
      <c r="G25" s="18">
        <f t="shared" si="9"/>
        <v>4115.6843343956853</v>
      </c>
    </row>
    <row r="26" spans="1:13" x14ac:dyDescent="0.35">
      <c r="A26" s="7">
        <v>45962</v>
      </c>
      <c r="B26" s="22">
        <v>18172</v>
      </c>
      <c r="C26" s="22">
        <v>104138</v>
      </c>
      <c r="D26" s="22">
        <v>435260246</v>
      </c>
      <c r="E26" s="8">
        <f t="shared" si="7"/>
        <v>5.7306845696676207</v>
      </c>
      <c r="F26" s="18">
        <f t="shared" si="8"/>
        <v>23952.247743781641</v>
      </c>
      <c r="G26" s="18">
        <f t="shared" si="9"/>
        <v>4179.648600894966</v>
      </c>
    </row>
    <row r="27" spans="1:13" ht="15" thickBot="1" x14ac:dyDescent="0.4">
      <c r="A27" s="9">
        <v>45992</v>
      </c>
      <c r="B27" s="23">
        <v>18102</v>
      </c>
      <c r="C27" s="23">
        <v>104909</v>
      </c>
      <c r="D27" s="23">
        <v>440431649</v>
      </c>
      <c r="E27" s="10">
        <f t="shared" si="7"/>
        <v>5.7954369682907965</v>
      </c>
      <c r="F27" s="20">
        <f t="shared" si="8"/>
        <v>24330.551817478732</v>
      </c>
      <c r="G27" s="20">
        <f t="shared" si="9"/>
        <v>4198.2255955161145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13749</v>
      </c>
      <c r="C28" s="21">
        <v>67896</v>
      </c>
      <c r="D28" s="21">
        <v>266871455</v>
      </c>
      <c r="E28" s="5">
        <f t="shared" si="7"/>
        <v>4.9382500545494219</v>
      </c>
      <c r="F28" s="18">
        <f t="shared" si="8"/>
        <v>19410.24474507237</v>
      </c>
      <c r="G28" s="18">
        <f t="shared" si="9"/>
        <v>3930.591713797573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13801</v>
      </c>
      <c r="C29" s="22">
        <v>68160</v>
      </c>
      <c r="D29" s="22">
        <v>269358800</v>
      </c>
      <c r="E29" s="8">
        <f t="shared" si="7"/>
        <v>4.9387725527135711</v>
      </c>
      <c r="F29" s="18">
        <f t="shared" si="8"/>
        <v>19517.339323237447</v>
      </c>
      <c r="G29" s="18">
        <f t="shared" si="9"/>
        <v>3951.8603286384982</v>
      </c>
      <c r="H29" s="28"/>
    </row>
    <row r="30" spans="1:13" x14ac:dyDescent="0.35">
      <c r="A30" s="7">
        <v>46082</v>
      </c>
      <c r="B30" s="22">
        <v>13881</v>
      </c>
      <c r="C30" s="22">
        <v>69123</v>
      </c>
      <c r="D30" s="22">
        <v>276789019</v>
      </c>
      <c r="E30" s="8">
        <f t="shared" si="7"/>
        <v>4.9796844607737194</v>
      </c>
      <c r="F30" s="18">
        <f t="shared" si="8"/>
        <v>19940.135364887257</v>
      </c>
      <c r="G30" s="18">
        <f t="shared" ref="G30" si="10">IFERROR(F30/E30,"")</f>
        <v>4004.2969633841126</v>
      </c>
      <c r="H30" s="28"/>
    </row>
    <row r="31" spans="1:13" x14ac:dyDescent="0.35">
      <c r="A31" s="7">
        <v>46113</v>
      </c>
      <c r="B31" s="22">
        <v>13998</v>
      </c>
      <c r="C31" s="22">
        <v>69627</v>
      </c>
      <c r="D31" s="22">
        <v>274642765</v>
      </c>
      <c r="E31" s="8">
        <f t="shared" si="7"/>
        <v>4.974067723960566</v>
      </c>
      <c r="F31" s="18">
        <f t="shared" si="8"/>
        <v>19620.143234747822</v>
      </c>
      <c r="G31" s="18">
        <f t="shared" ref="G31" si="11">IFERROR(F31/E31,"")</f>
        <v>3944.4865497579963</v>
      </c>
      <c r="H31" s="28"/>
    </row>
    <row r="32" spans="1:13" x14ac:dyDescent="0.35">
      <c r="A32" s="7">
        <v>46143</v>
      </c>
      <c r="B32" s="22">
        <v>14068</v>
      </c>
      <c r="C32" s="22">
        <v>70438</v>
      </c>
      <c r="D32" s="22">
        <v>282271658</v>
      </c>
      <c r="E32" s="8">
        <f t="shared" si="7"/>
        <v>5.0069661643446119</v>
      </c>
      <c r="F32" s="18">
        <f t="shared" si="8"/>
        <v>20064.803667898777</v>
      </c>
      <c r="G32" s="18">
        <f t="shared" ref="G32" si="12">IFERROR(F32/E32,"")</f>
        <v>4007.3775234958403</v>
      </c>
      <c r="H32" s="28"/>
    </row>
    <row r="33" spans="1:13" x14ac:dyDescent="0.35">
      <c r="A33" s="7">
        <v>46174</v>
      </c>
      <c r="B33" s="22">
        <v>14099</v>
      </c>
      <c r="C33" s="22">
        <v>70475</v>
      </c>
      <c r="D33" s="22">
        <v>283207709</v>
      </c>
      <c r="E33" s="8">
        <f t="shared" si="7"/>
        <v>4.9985814596779914</v>
      </c>
      <c r="F33" s="18">
        <f t="shared" si="8"/>
        <v>20087.077736009647</v>
      </c>
      <c r="G33" s="18">
        <f t="shared" ref="G33" si="13">IFERROR(F33/E33,"")</f>
        <v>4018.5556438453355</v>
      </c>
      <c r="H33" s="28"/>
    </row>
    <row r="34" spans="1:13" x14ac:dyDescent="0.35">
      <c r="A34" s="7">
        <v>46204</v>
      </c>
      <c r="B34" s="22">
        <v>14057</v>
      </c>
      <c r="C34" s="22">
        <v>69841</v>
      </c>
      <c r="D34" s="22">
        <v>276075161</v>
      </c>
      <c r="E34" s="8">
        <f t="shared" si="7"/>
        <v>4.9684143131535894</v>
      </c>
      <c r="F34" s="18">
        <f t="shared" si="8"/>
        <v>19639.692750942591</v>
      </c>
      <c r="G34" s="18">
        <f t="shared" ref="G34" si="14">IFERROR(F34/E34,"")</f>
        <v>3952.9096232871807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18BF-0AC4-4952-97AF-51818A7A7B05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H37" sqref="H37"/>
    </sheetView>
  </sheetViews>
  <sheetFormatPr defaultColWidth="9.1796875" defaultRowHeight="14.5" x14ac:dyDescent="0.35"/>
  <cols>
    <col min="1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32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85630</v>
      </c>
      <c r="C4" s="21">
        <v>322973</v>
      </c>
      <c r="D4" s="21">
        <v>689715304.85999966</v>
      </c>
      <c r="E4" s="5">
        <f t="shared" ref="E4:E7" si="0">C4/B4</f>
        <v>3.7717271984117717</v>
      </c>
      <c r="F4" s="18">
        <f t="shared" ref="F4:F7" si="1">D4/B4</f>
        <v>8054.5989122970877</v>
      </c>
      <c r="G4" s="18">
        <f t="shared" ref="G4:G9" si="2">F4/E4</f>
        <v>2135.5200120753116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88571</v>
      </c>
      <c r="C5" s="22">
        <v>330257</v>
      </c>
      <c r="D5" s="22">
        <v>707051079.87</v>
      </c>
      <c r="E5" s="8">
        <f t="shared" si="0"/>
        <v>3.7287261067392263</v>
      </c>
      <c r="F5" s="18">
        <f t="shared" si="1"/>
        <v>7982.8733995325783</v>
      </c>
      <c r="G5" s="18">
        <f t="shared" si="2"/>
        <v>2140.9117138168153</v>
      </c>
      <c r="H5" s="28"/>
    </row>
    <row r="6" spans="1:13" x14ac:dyDescent="0.35">
      <c r="A6" s="7">
        <v>45352</v>
      </c>
      <c r="B6" s="22">
        <v>90311</v>
      </c>
      <c r="C6" s="22">
        <v>338105</v>
      </c>
      <c r="D6" s="22">
        <v>731320578.2299999</v>
      </c>
      <c r="E6" s="8">
        <f t="shared" si="0"/>
        <v>3.7437853639091583</v>
      </c>
      <c r="F6" s="18">
        <f t="shared" si="1"/>
        <v>8097.801798562743</v>
      </c>
      <c r="G6" s="18">
        <f t="shared" si="2"/>
        <v>2162.9984124162611</v>
      </c>
      <c r="H6" s="28"/>
    </row>
    <row r="7" spans="1:13" x14ac:dyDescent="0.35">
      <c r="A7" s="7">
        <v>45383</v>
      </c>
      <c r="B7" s="22">
        <v>86574</v>
      </c>
      <c r="C7" s="22">
        <v>333331</v>
      </c>
      <c r="D7" s="22">
        <v>760578807.89999962</v>
      </c>
      <c r="E7" s="8">
        <f t="shared" si="0"/>
        <v>3.8502437221336661</v>
      </c>
      <c r="F7" s="18">
        <f t="shared" si="1"/>
        <v>8785.3028380345095</v>
      </c>
      <c r="G7" s="18">
        <f t="shared" si="2"/>
        <v>2281.7523959667706</v>
      </c>
      <c r="H7" s="28"/>
    </row>
    <row r="8" spans="1:13" x14ac:dyDescent="0.35">
      <c r="A8" s="7">
        <v>45413</v>
      </c>
      <c r="B8" s="22">
        <v>86309</v>
      </c>
      <c r="C8" s="22">
        <v>336512</v>
      </c>
      <c r="D8" s="22">
        <v>787609366.23999906</v>
      </c>
      <c r="E8" s="8">
        <f t="shared" ref="E8:E23" si="3">C8/B8</f>
        <v>3.8989213175914448</v>
      </c>
      <c r="F8" s="18">
        <f t="shared" ref="F8:F23" si="4">D8/B8</f>
        <v>9125.4604530234283</v>
      </c>
      <c r="G8" s="18">
        <f t="shared" si="2"/>
        <v>2340.50900484975</v>
      </c>
      <c r="H8" s="28"/>
    </row>
    <row r="9" spans="1:13" x14ac:dyDescent="0.35">
      <c r="A9" s="7">
        <v>45444</v>
      </c>
      <c r="B9" s="22">
        <v>86249</v>
      </c>
      <c r="C9" s="22">
        <v>332806</v>
      </c>
      <c r="D9" s="22">
        <v>793530299.69000006</v>
      </c>
      <c r="E9" s="8">
        <f t="shared" si="3"/>
        <v>3.8586650280003245</v>
      </c>
      <c r="F9" s="18">
        <f t="shared" si="4"/>
        <v>9200.4579727301189</v>
      </c>
      <c r="G9" s="18">
        <f t="shared" si="2"/>
        <v>2384.3629612747368</v>
      </c>
      <c r="H9" s="28"/>
    </row>
    <row r="10" spans="1:13" x14ac:dyDescent="0.35">
      <c r="A10" s="7">
        <v>45474</v>
      </c>
      <c r="B10" s="22">
        <v>83152</v>
      </c>
      <c r="C10" s="22">
        <v>322748</v>
      </c>
      <c r="D10" s="22">
        <v>775350295.17999995</v>
      </c>
      <c r="E10" s="8">
        <f t="shared" si="3"/>
        <v>3.8814219742158937</v>
      </c>
      <c r="F10" s="18">
        <f t="shared" si="4"/>
        <v>9324.4936403213378</v>
      </c>
      <c r="G10" s="18">
        <f t="shared" ref="G10:G22" si="5">F10/E10</f>
        <v>2402.33958128323</v>
      </c>
      <c r="H10" s="28"/>
    </row>
    <row r="11" spans="1:13" x14ac:dyDescent="0.35">
      <c r="A11" s="7">
        <v>45505</v>
      </c>
      <c r="B11" s="22">
        <v>78350</v>
      </c>
      <c r="C11" s="22">
        <v>311588</v>
      </c>
      <c r="D11" s="22">
        <v>768421426.23999953</v>
      </c>
      <c r="E11" s="8">
        <f t="shared" si="3"/>
        <v>3.9768730057434589</v>
      </c>
      <c r="F11" s="18">
        <f t="shared" si="4"/>
        <v>9807.5485161454944</v>
      </c>
      <c r="G11" s="18">
        <f t="shared" si="5"/>
        <v>2466.1457637649701</v>
      </c>
      <c r="H11" s="28"/>
    </row>
    <row r="12" spans="1:13" x14ac:dyDescent="0.35">
      <c r="A12" s="7">
        <v>45536</v>
      </c>
      <c r="B12" s="22">
        <v>78964</v>
      </c>
      <c r="C12" s="22">
        <v>314403</v>
      </c>
      <c r="D12" s="22">
        <v>786798875.90999913</v>
      </c>
      <c r="E12" s="8">
        <f t="shared" si="3"/>
        <v>3.9815992097664759</v>
      </c>
      <c r="F12" s="18">
        <f t="shared" si="4"/>
        <v>9964.0200079783081</v>
      </c>
      <c r="G12" s="18">
        <f t="shared" si="5"/>
        <v>2502.5170749324884</v>
      </c>
      <c r="H12" s="28"/>
    </row>
    <row r="13" spans="1:13" x14ac:dyDescent="0.35">
      <c r="A13" s="7">
        <v>45566</v>
      </c>
      <c r="B13" s="22">
        <v>79232</v>
      </c>
      <c r="C13" s="22">
        <v>317994</v>
      </c>
      <c r="D13" s="22">
        <v>819666762.56999969</v>
      </c>
      <c r="E13" s="8">
        <f t="shared" si="3"/>
        <v>4.0134541599353799</v>
      </c>
      <c r="F13" s="18">
        <f t="shared" si="4"/>
        <v>10345.147952468697</v>
      </c>
      <c r="G13" s="18">
        <f t="shared" si="5"/>
        <v>2577.6170700390562</v>
      </c>
      <c r="H13" s="28"/>
    </row>
    <row r="14" spans="1:13" x14ac:dyDescent="0.35">
      <c r="A14" s="7">
        <v>45597</v>
      </c>
      <c r="B14" s="22">
        <v>78973</v>
      </c>
      <c r="C14" s="22">
        <v>308404</v>
      </c>
      <c r="D14" s="22">
        <v>790857574.22000003</v>
      </c>
      <c r="E14" s="8">
        <f t="shared" si="3"/>
        <v>3.9051827839894648</v>
      </c>
      <c r="F14" s="18">
        <f t="shared" si="4"/>
        <v>10014.277971205349</v>
      </c>
      <c r="G14" s="18">
        <f t="shared" si="5"/>
        <v>2564.355761339023</v>
      </c>
      <c r="H14" s="28"/>
    </row>
    <row r="15" spans="1:13" ht="15" thickBot="1" x14ac:dyDescent="0.4">
      <c r="A15" s="9">
        <v>45627</v>
      </c>
      <c r="B15" s="23">
        <v>78230</v>
      </c>
      <c r="C15" s="23">
        <v>303514</v>
      </c>
      <c r="D15" s="23">
        <v>785834268.6099999</v>
      </c>
      <c r="E15" s="10">
        <f t="shared" si="3"/>
        <v>3.8797647961140229</v>
      </c>
      <c r="F15" s="20">
        <f t="shared" si="4"/>
        <v>10045.177919084748</v>
      </c>
      <c r="G15" s="20">
        <f t="shared" si="5"/>
        <v>2589.1203325382021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79868</v>
      </c>
      <c r="C16" s="21">
        <v>316116</v>
      </c>
      <c r="D16" s="21">
        <v>817331207.39000034</v>
      </c>
      <c r="E16" s="5">
        <f t="shared" si="3"/>
        <v>3.957980668102369</v>
      </c>
      <c r="F16" s="18">
        <f t="shared" si="4"/>
        <v>10233.52540930035</v>
      </c>
      <c r="G16" s="18">
        <f t="shared" si="5"/>
        <v>2585.5420395993883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80575</v>
      </c>
      <c r="C17" s="22">
        <v>323321</v>
      </c>
      <c r="D17" s="22">
        <v>858053788.66000009</v>
      </c>
      <c r="E17" s="8">
        <f t="shared" si="3"/>
        <v>4.0126714241390014</v>
      </c>
      <c r="F17" s="18">
        <f t="shared" si="4"/>
        <v>10649.131723983866</v>
      </c>
      <c r="G17" s="18">
        <f t="shared" si="5"/>
        <v>2653.8758344184262</v>
      </c>
      <c r="H17" s="28"/>
    </row>
    <row r="18" spans="1:13" x14ac:dyDescent="0.35">
      <c r="A18" s="7">
        <v>45717</v>
      </c>
      <c r="B18" s="22">
        <v>80246</v>
      </c>
      <c r="C18" s="22">
        <v>326068</v>
      </c>
      <c r="D18" s="22">
        <v>876791624.54000044</v>
      </c>
      <c r="E18" s="8">
        <f t="shared" si="3"/>
        <v>4.0633551828128507</v>
      </c>
      <c r="F18" s="18">
        <f t="shared" si="4"/>
        <v>10926.296943648287</v>
      </c>
      <c r="G18" s="18">
        <f t="shared" si="5"/>
        <v>2688.9839681906856</v>
      </c>
      <c r="H18" s="28"/>
    </row>
    <row r="19" spans="1:13" x14ac:dyDescent="0.35">
      <c r="A19" s="7">
        <v>45748</v>
      </c>
      <c r="B19" s="22">
        <v>80263</v>
      </c>
      <c r="C19" s="22">
        <v>321686</v>
      </c>
      <c r="D19" s="22">
        <v>886931712</v>
      </c>
      <c r="E19" s="8">
        <f t="shared" si="3"/>
        <v>4.0078990319325216</v>
      </c>
      <c r="F19" s="18">
        <f t="shared" si="4"/>
        <v>11050.318478003563</v>
      </c>
      <c r="G19" s="18">
        <f t="shared" si="5"/>
        <v>2757.1349452571762</v>
      </c>
      <c r="H19" s="28"/>
    </row>
    <row r="20" spans="1:13" x14ac:dyDescent="0.35">
      <c r="A20" s="7">
        <v>45778</v>
      </c>
      <c r="B20" s="22">
        <v>81121</v>
      </c>
      <c r="C20" s="22">
        <v>324273</v>
      </c>
      <c r="D20" s="22">
        <v>903444863</v>
      </c>
      <c r="E20" s="8">
        <f t="shared" si="3"/>
        <v>3.9973989472516362</v>
      </c>
      <c r="F20" s="18">
        <f t="shared" si="4"/>
        <v>11137.003525597564</v>
      </c>
      <c r="G20" s="18">
        <f t="shared" si="5"/>
        <v>2786.0625553160453</v>
      </c>
      <c r="H20" s="28"/>
    </row>
    <row r="21" spans="1:13" x14ac:dyDescent="0.35">
      <c r="A21" s="7">
        <v>45809</v>
      </c>
      <c r="B21" s="22">
        <v>81251</v>
      </c>
      <c r="C21" s="22">
        <v>325231</v>
      </c>
      <c r="D21" s="22">
        <v>912168437</v>
      </c>
      <c r="E21" s="8">
        <f t="shared" si="3"/>
        <v>4.0027938117684707</v>
      </c>
      <c r="F21" s="18">
        <f t="shared" si="4"/>
        <v>11226.550282458062</v>
      </c>
      <c r="G21" s="18">
        <f t="shared" si="5"/>
        <v>2804.678634570505</v>
      </c>
      <c r="H21" s="28"/>
    </row>
    <row r="22" spans="1:13" x14ac:dyDescent="0.35">
      <c r="A22" s="7">
        <v>45839</v>
      </c>
      <c r="B22" s="22">
        <v>82748</v>
      </c>
      <c r="C22" s="22">
        <v>331337</v>
      </c>
      <c r="D22" s="22">
        <v>932452981</v>
      </c>
      <c r="E22" s="8">
        <f t="shared" si="3"/>
        <v>4.0041692850582491</v>
      </c>
      <c r="F22" s="18">
        <f t="shared" si="4"/>
        <v>11268.586322328032</v>
      </c>
      <c r="G22" s="18">
        <f t="shared" si="5"/>
        <v>2814.2132662515805</v>
      </c>
      <c r="H22" s="28"/>
    </row>
    <row r="23" spans="1:13" x14ac:dyDescent="0.35">
      <c r="A23" s="7">
        <v>45870</v>
      </c>
      <c r="B23" s="22">
        <v>70689</v>
      </c>
      <c r="C23" s="22">
        <v>310967</v>
      </c>
      <c r="D23" s="22">
        <v>931809534</v>
      </c>
      <c r="E23" s="8">
        <f t="shared" si="3"/>
        <v>4.3990861378715218</v>
      </c>
      <c r="F23" s="18">
        <f t="shared" si="4"/>
        <v>13181.818019776769</v>
      </c>
      <c r="G23" s="18">
        <f>F23/E23</f>
        <v>2996.4900905883906</v>
      </c>
    </row>
    <row r="24" spans="1:13" x14ac:dyDescent="0.35">
      <c r="A24" s="7">
        <v>45901</v>
      </c>
      <c r="B24" s="22">
        <v>75034</v>
      </c>
      <c r="C24" s="22">
        <v>321388</v>
      </c>
      <c r="D24" s="22">
        <v>953705982</v>
      </c>
      <c r="E24" s="8">
        <f t="shared" ref="E24:E34" si="6">IFERROR(C24/B24,"")</f>
        <v>4.2832316016739078</v>
      </c>
      <c r="F24" s="18">
        <f t="shared" ref="F24:F34" si="7">IFERROR(D24/B24,"")</f>
        <v>12710.317749286989</v>
      </c>
      <c r="G24" s="18">
        <f t="shared" ref="G24:G29" si="8">IFERROR(F24/E24,"")</f>
        <v>2967.4598367082776</v>
      </c>
    </row>
    <row r="25" spans="1:13" x14ac:dyDescent="0.35">
      <c r="A25" s="7">
        <v>45931</v>
      </c>
      <c r="B25" s="22">
        <v>77875</v>
      </c>
      <c r="C25" s="22">
        <v>333827</v>
      </c>
      <c r="D25" s="22">
        <v>978809491</v>
      </c>
      <c r="E25" s="8">
        <f t="shared" si="6"/>
        <v>4.2867030497592298</v>
      </c>
      <c r="F25" s="18">
        <f t="shared" si="7"/>
        <v>12568.982227929375</v>
      </c>
      <c r="G25" s="18">
        <f t="shared" si="8"/>
        <v>2932.0860535546853</v>
      </c>
    </row>
    <row r="26" spans="1:13" x14ac:dyDescent="0.35">
      <c r="A26" s="7">
        <v>45962</v>
      </c>
      <c r="B26" s="22">
        <v>79893</v>
      </c>
      <c r="C26" s="22">
        <v>344432</v>
      </c>
      <c r="D26" s="22">
        <v>1026200042</v>
      </c>
      <c r="E26" s="8">
        <f t="shared" si="6"/>
        <v>4.3111661847721328</v>
      </c>
      <c r="F26" s="18">
        <f t="shared" si="7"/>
        <v>12844.680284881028</v>
      </c>
      <c r="G26" s="18">
        <f t="shared" si="8"/>
        <v>2979.3980872857342</v>
      </c>
    </row>
    <row r="27" spans="1:13" ht="15" thickBot="1" x14ac:dyDescent="0.4">
      <c r="A27" s="9">
        <v>45992</v>
      </c>
      <c r="B27" s="23">
        <v>80681</v>
      </c>
      <c r="C27" s="23">
        <v>349691</v>
      </c>
      <c r="D27" s="23">
        <v>1041765583</v>
      </c>
      <c r="E27" s="10">
        <f t="shared" si="6"/>
        <v>4.3342422627384387</v>
      </c>
      <c r="F27" s="20">
        <f t="shared" si="7"/>
        <v>12912.155067488009</v>
      </c>
      <c r="G27" s="20">
        <f t="shared" si="8"/>
        <v>2979.1032168400106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64683</v>
      </c>
      <c r="C28" s="21">
        <v>251710</v>
      </c>
      <c r="D28" s="21">
        <v>704872382</v>
      </c>
      <c r="E28" s="5">
        <f t="shared" si="6"/>
        <v>3.8914397909806286</v>
      </c>
      <c r="F28" s="18">
        <f t="shared" si="7"/>
        <v>10897.335961535489</v>
      </c>
      <c r="G28" s="18">
        <f t="shared" si="8"/>
        <v>2800.3352349926504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65132</v>
      </c>
      <c r="C29" s="22">
        <v>254366</v>
      </c>
      <c r="D29" s="22">
        <v>716164950</v>
      </c>
      <c r="E29" s="8">
        <f t="shared" si="6"/>
        <v>3.9053921267579685</v>
      </c>
      <c r="F29" s="18">
        <f t="shared" si="7"/>
        <v>10995.592796167783</v>
      </c>
      <c r="G29" s="18">
        <f t="shared" si="8"/>
        <v>2815.4900812215469</v>
      </c>
      <c r="H29" s="28"/>
    </row>
    <row r="30" spans="1:13" x14ac:dyDescent="0.35">
      <c r="A30" s="7">
        <v>46082</v>
      </c>
      <c r="B30" s="22">
        <v>63380</v>
      </c>
      <c r="C30" s="22">
        <v>254282</v>
      </c>
      <c r="D30" s="22">
        <v>733726720</v>
      </c>
      <c r="E30" s="8">
        <f t="shared" si="6"/>
        <v>4.0120227201009779</v>
      </c>
      <c r="F30" s="18">
        <f t="shared" si="7"/>
        <v>11576.628589460397</v>
      </c>
      <c r="G30" s="18">
        <f t="shared" ref="G30" si="9">IFERROR(F30/E30,"")</f>
        <v>2885.4843048269245</v>
      </c>
      <c r="H30" s="28"/>
    </row>
    <row r="31" spans="1:13" x14ac:dyDescent="0.35">
      <c r="A31" s="7">
        <v>46113</v>
      </c>
      <c r="B31" s="22">
        <v>64335</v>
      </c>
      <c r="C31" s="22">
        <v>259699</v>
      </c>
      <c r="D31" s="22">
        <v>754181961</v>
      </c>
      <c r="E31" s="8">
        <f t="shared" si="6"/>
        <v>4.0366674438486045</v>
      </c>
      <c r="F31" s="18">
        <f t="shared" si="7"/>
        <v>11722.731965493122</v>
      </c>
      <c r="G31" s="18">
        <f t="shared" ref="G31" si="10">IFERROR(F31/E31,"")</f>
        <v>2904.0618600764733</v>
      </c>
      <c r="H31" s="28"/>
    </row>
    <row r="32" spans="1:13" x14ac:dyDescent="0.35">
      <c r="A32" s="7">
        <v>46143</v>
      </c>
      <c r="B32" s="22">
        <v>59819</v>
      </c>
      <c r="C32" s="22">
        <v>254656</v>
      </c>
      <c r="D32" s="22">
        <v>778588143</v>
      </c>
      <c r="E32" s="8">
        <f t="shared" si="6"/>
        <v>4.257108945318377</v>
      </c>
      <c r="F32" s="18">
        <f t="shared" si="7"/>
        <v>13015.733178421571</v>
      </c>
      <c r="G32" s="18">
        <f t="shared" ref="G32" si="11">IFERROR(F32/E32,"")</f>
        <v>3057.4113431452624</v>
      </c>
      <c r="H32" s="28"/>
    </row>
    <row r="33" spans="1:13" x14ac:dyDescent="0.35">
      <c r="A33" s="7">
        <v>46174</v>
      </c>
      <c r="B33" s="22">
        <v>60253</v>
      </c>
      <c r="C33" s="22">
        <v>256739</v>
      </c>
      <c r="D33" s="22">
        <v>790105265</v>
      </c>
      <c r="E33" s="8">
        <f t="shared" si="6"/>
        <v>4.2610160489934108</v>
      </c>
      <c r="F33" s="18">
        <f t="shared" si="7"/>
        <v>13113.12739614625</v>
      </c>
      <c r="G33" s="18">
        <f t="shared" ref="G33" si="12">IFERROR(F33/E33,"")</f>
        <v>3077.4649157315407</v>
      </c>
      <c r="H33" s="28"/>
    </row>
    <row r="34" spans="1:13" x14ac:dyDescent="0.35">
      <c r="A34" s="7">
        <v>46204</v>
      </c>
      <c r="B34" s="22">
        <v>60303</v>
      </c>
      <c r="C34" s="22">
        <v>255048</v>
      </c>
      <c r="D34" s="22">
        <v>777077657</v>
      </c>
      <c r="E34" s="8">
        <f t="shared" si="6"/>
        <v>4.2294413213272968</v>
      </c>
      <c r="F34" s="18">
        <f t="shared" si="7"/>
        <v>12886.218877999436</v>
      </c>
      <c r="G34" s="18">
        <f t="shared" ref="G34" si="13">IFERROR(F34/E34,"")</f>
        <v>3046.7898474012736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780A-E9AE-41E1-B972-A4B8CC372BBA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B35" sqref="B35"/>
    </sheetView>
  </sheetViews>
  <sheetFormatPr defaultColWidth="9.1796875" defaultRowHeight="14.5" x14ac:dyDescent="0.35"/>
  <cols>
    <col min="1" max="3" width="16.26953125" style="1" customWidth="1"/>
    <col min="4" max="4" width="17.089843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33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75337</v>
      </c>
      <c r="C4" s="21">
        <v>485127</v>
      </c>
      <c r="D4" s="21">
        <v>1606329065.1499999</v>
      </c>
      <c r="E4" s="5">
        <f t="shared" ref="E4:E7" si="0">C4/B4</f>
        <v>6.439425514687338</v>
      </c>
      <c r="F4" s="18">
        <f t="shared" ref="F4:F7" si="1">D4/B4</f>
        <v>21321.914399962832</v>
      </c>
      <c r="G4" s="18">
        <f t="shared" ref="G4:G9" si="2">F4/E4</f>
        <v>3311.1516471975378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73036</v>
      </c>
      <c r="C5" s="22">
        <v>488936</v>
      </c>
      <c r="D5" s="22">
        <v>1643604972.1199996</v>
      </c>
      <c r="E5" s="8">
        <f t="shared" si="0"/>
        <v>6.6944520510433208</v>
      </c>
      <c r="F5" s="18">
        <f t="shared" si="1"/>
        <v>22504.038722273941</v>
      </c>
      <c r="G5" s="18">
        <f t="shared" si="2"/>
        <v>3361.5953256049866</v>
      </c>
      <c r="H5" s="28"/>
    </row>
    <row r="6" spans="1:13" x14ac:dyDescent="0.35">
      <c r="A6" s="7">
        <v>45352</v>
      </c>
      <c r="B6" s="22">
        <v>73503</v>
      </c>
      <c r="C6" s="22">
        <v>495562</v>
      </c>
      <c r="D6" s="22">
        <v>1674806326.8999987</v>
      </c>
      <c r="E6" s="8">
        <f t="shared" si="0"/>
        <v>6.7420649497299427</v>
      </c>
      <c r="F6" s="18">
        <f t="shared" si="1"/>
        <v>22785.550615621112</v>
      </c>
      <c r="G6" s="18">
        <f t="shared" si="2"/>
        <v>3379.6100728062256</v>
      </c>
      <c r="H6" s="28"/>
    </row>
    <row r="7" spans="1:13" x14ac:dyDescent="0.35">
      <c r="A7" s="7">
        <v>45383</v>
      </c>
      <c r="B7" s="22">
        <v>77125</v>
      </c>
      <c r="C7" s="22">
        <v>508138</v>
      </c>
      <c r="D7" s="22">
        <v>1729492088.3999996</v>
      </c>
      <c r="E7" s="8">
        <f t="shared" si="0"/>
        <v>6.5884991896272282</v>
      </c>
      <c r="F7" s="18">
        <f t="shared" si="1"/>
        <v>22424.53275072933</v>
      </c>
      <c r="G7" s="18">
        <f t="shared" si="2"/>
        <v>3403.5873884653374</v>
      </c>
      <c r="H7" s="28"/>
    </row>
    <row r="8" spans="1:13" x14ac:dyDescent="0.35">
      <c r="A8" s="7">
        <v>45413</v>
      </c>
      <c r="B8" s="22">
        <v>79004</v>
      </c>
      <c r="C8" s="22">
        <v>520823</v>
      </c>
      <c r="D8" s="22">
        <v>1781603691.3500025</v>
      </c>
      <c r="E8" s="8">
        <f t="shared" ref="E8:E23" si="3">C8/B8</f>
        <v>6.5923624120297708</v>
      </c>
      <c r="F8" s="18">
        <f t="shared" ref="F8:F23" si="4">D8/B8</f>
        <v>22550.803647283712</v>
      </c>
      <c r="G8" s="18">
        <f t="shared" si="2"/>
        <v>3420.746955011592</v>
      </c>
      <c r="H8" s="28"/>
    </row>
    <row r="9" spans="1:13" x14ac:dyDescent="0.35">
      <c r="A9" s="7">
        <v>45444</v>
      </c>
      <c r="B9" s="22">
        <v>79490</v>
      </c>
      <c r="C9" s="22">
        <v>526561</v>
      </c>
      <c r="D9" s="22">
        <v>1808639204.26</v>
      </c>
      <c r="E9" s="8">
        <f t="shared" si="3"/>
        <v>6.6242420430242799</v>
      </c>
      <c r="F9" s="18">
        <f t="shared" si="4"/>
        <v>22753.040687633664</v>
      </c>
      <c r="G9" s="18">
        <f t="shared" si="2"/>
        <v>3434.8142081544206</v>
      </c>
      <c r="H9" s="28"/>
    </row>
    <row r="10" spans="1:13" x14ac:dyDescent="0.35">
      <c r="A10" s="7">
        <v>45474</v>
      </c>
      <c r="B10" s="22">
        <v>79564</v>
      </c>
      <c r="C10" s="22">
        <v>526870</v>
      </c>
      <c r="D10" s="22">
        <v>1821895306.47</v>
      </c>
      <c r="E10" s="8">
        <f t="shared" si="3"/>
        <v>6.621964707656729</v>
      </c>
      <c r="F10" s="18">
        <f t="shared" si="4"/>
        <v>22898.48809097079</v>
      </c>
      <c r="G10" s="18">
        <f t="shared" ref="G10:G22" si="5">F10/E10</f>
        <v>3457.9598505703493</v>
      </c>
      <c r="H10" s="28"/>
    </row>
    <row r="11" spans="1:13" x14ac:dyDescent="0.35">
      <c r="A11" s="7">
        <v>45505</v>
      </c>
      <c r="B11" s="22">
        <v>80149</v>
      </c>
      <c r="C11" s="22">
        <v>527602</v>
      </c>
      <c r="D11" s="22">
        <v>1855677942.2600002</v>
      </c>
      <c r="E11" s="8">
        <f t="shared" si="3"/>
        <v>6.5827646009307665</v>
      </c>
      <c r="F11" s="18">
        <f t="shared" si="4"/>
        <v>23152.852091230088</v>
      </c>
      <c r="G11" s="18">
        <f t="shared" si="5"/>
        <v>3517.1927745914541</v>
      </c>
      <c r="H11" s="28"/>
    </row>
    <row r="12" spans="1:13" x14ac:dyDescent="0.35">
      <c r="A12" s="7">
        <v>45536</v>
      </c>
      <c r="B12" s="22">
        <v>80487</v>
      </c>
      <c r="C12" s="22">
        <v>532088</v>
      </c>
      <c r="D12" s="22">
        <v>1901227014.5800004</v>
      </c>
      <c r="E12" s="8">
        <f t="shared" si="3"/>
        <v>6.6108564115944191</v>
      </c>
      <c r="F12" s="18">
        <f t="shared" si="4"/>
        <v>23621.541548076093</v>
      </c>
      <c r="G12" s="18">
        <f t="shared" si="5"/>
        <v>3573.143943445446</v>
      </c>
      <c r="H12" s="28"/>
    </row>
    <row r="13" spans="1:13" x14ac:dyDescent="0.35">
      <c r="A13" s="7">
        <v>45566</v>
      </c>
      <c r="B13" s="22">
        <v>81128</v>
      </c>
      <c r="C13" s="22">
        <v>541591</v>
      </c>
      <c r="D13" s="22">
        <v>1969877556.9899998</v>
      </c>
      <c r="E13" s="8">
        <f t="shared" si="3"/>
        <v>6.675759293955231</v>
      </c>
      <c r="F13" s="18">
        <f t="shared" si="4"/>
        <v>24281.105869613446</v>
      </c>
      <c r="G13" s="18">
        <f t="shared" si="5"/>
        <v>3637.2051178656952</v>
      </c>
      <c r="H13" s="28"/>
    </row>
    <row r="14" spans="1:13" x14ac:dyDescent="0.35">
      <c r="A14" s="7">
        <v>45597</v>
      </c>
      <c r="B14" s="22">
        <v>81620</v>
      </c>
      <c r="C14" s="22">
        <v>547231</v>
      </c>
      <c r="D14" s="22">
        <v>1986414620.9900005</v>
      </c>
      <c r="E14" s="8">
        <f t="shared" si="3"/>
        <v>6.7046189659397211</v>
      </c>
      <c r="F14" s="18">
        <f t="shared" si="4"/>
        <v>24337.351396593978</v>
      </c>
      <c r="G14" s="18">
        <f t="shared" si="5"/>
        <v>3629.9380352903991</v>
      </c>
      <c r="H14" s="28"/>
    </row>
    <row r="15" spans="1:13" ht="15" thickBot="1" x14ac:dyDescent="0.4">
      <c r="A15" s="9">
        <v>45627</v>
      </c>
      <c r="B15" s="23">
        <v>80576</v>
      </c>
      <c r="C15" s="23">
        <v>535017</v>
      </c>
      <c r="D15" s="23">
        <v>1924929601.1300006</v>
      </c>
      <c r="E15" s="10">
        <f t="shared" si="3"/>
        <v>6.6399051826846707</v>
      </c>
      <c r="F15" s="20">
        <f t="shared" si="4"/>
        <v>23889.6147876539</v>
      </c>
      <c r="G15" s="20">
        <f t="shared" si="5"/>
        <v>3597.8849291330939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83215</v>
      </c>
      <c r="C16" s="21">
        <v>545054</v>
      </c>
      <c r="D16" s="21">
        <v>1983095972.4400005</v>
      </c>
      <c r="E16" s="5">
        <f t="shared" si="3"/>
        <v>6.5499489274770175</v>
      </c>
      <c r="F16" s="18">
        <f t="shared" si="4"/>
        <v>23830.991677462003</v>
      </c>
      <c r="G16" s="18">
        <f t="shared" si="5"/>
        <v>3638.3477094746586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85980</v>
      </c>
      <c r="C17" s="22">
        <v>568543</v>
      </c>
      <c r="D17" s="22">
        <v>2107080134.6199994</v>
      </c>
      <c r="E17" s="8">
        <f t="shared" si="3"/>
        <v>6.6125029076529422</v>
      </c>
      <c r="F17" s="18">
        <f t="shared" si="4"/>
        <v>24506.631014421953</v>
      </c>
      <c r="G17" s="18">
        <f t="shared" si="5"/>
        <v>3706.1051400157939</v>
      </c>
      <c r="H17" s="28"/>
    </row>
    <row r="18" spans="1:13" x14ac:dyDescent="0.35">
      <c r="A18" s="7">
        <v>45717</v>
      </c>
      <c r="B18" s="22">
        <v>88396</v>
      </c>
      <c r="C18" s="22">
        <v>587673</v>
      </c>
      <c r="D18" s="22">
        <v>2190581463.8800011</v>
      </c>
      <c r="E18" s="8">
        <f t="shared" si="3"/>
        <v>6.6481854382551244</v>
      </c>
      <c r="F18" s="18">
        <f t="shared" si="4"/>
        <v>24781.454634598864</v>
      </c>
      <c r="G18" s="18">
        <f t="shared" si="5"/>
        <v>3727.5516552232298</v>
      </c>
      <c r="H18" s="28"/>
    </row>
    <row r="19" spans="1:13" x14ac:dyDescent="0.35">
      <c r="A19" s="7">
        <v>45748</v>
      </c>
      <c r="B19" s="22">
        <v>90839</v>
      </c>
      <c r="C19" s="22">
        <v>601365</v>
      </c>
      <c r="D19" s="22">
        <v>2256418586</v>
      </c>
      <c r="E19" s="8">
        <f t="shared" si="3"/>
        <v>6.6201191118352254</v>
      </c>
      <c r="F19" s="18">
        <f t="shared" si="4"/>
        <v>24839.7558977972</v>
      </c>
      <c r="G19" s="18">
        <f t="shared" si="5"/>
        <v>3752.1614759754884</v>
      </c>
      <c r="H19" s="28"/>
    </row>
    <row r="20" spans="1:13" x14ac:dyDescent="0.35">
      <c r="A20" s="7">
        <v>45778</v>
      </c>
      <c r="B20" s="22">
        <v>93771</v>
      </c>
      <c r="C20" s="22">
        <v>613849</v>
      </c>
      <c r="D20" s="22">
        <v>2321269417</v>
      </c>
      <c r="E20" s="8">
        <f t="shared" si="3"/>
        <v>6.5462563052542899</v>
      </c>
      <c r="F20" s="18">
        <f t="shared" si="4"/>
        <v>24754.662070362905</v>
      </c>
      <c r="G20" s="18">
        <f t="shared" si="5"/>
        <v>3781.4990608439534</v>
      </c>
      <c r="H20" s="28"/>
    </row>
    <row r="21" spans="1:13" x14ac:dyDescent="0.35">
      <c r="A21" s="7">
        <v>45809</v>
      </c>
      <c r="B21" s="22">
        <v>95706</v>
      </c>
      <c r="C21" s="22">
        <v>644327</v>
      </c>
      <c r="D21" s="22">
        <v>2391829762</v>
      </c>
      <c r="E21" s="8">
        <f t="shared" si="3"/>
        <v>6.7323574279564502</v>
      </c>
      <c r="F21" s="18">
        <f t="shared" si="4"/>
        <v>24991.429607339142</v>
      </c>
      <c r="G21" s="18">
        <f t="shared" si="5"/>
        <v>3712.1364803896154</v>
      </c>
      <c r="H21" s="28"/>
    </row>
    <row r="22" spans="1:13" x14ac:dyDescent="0.35">
      <c r="A22" s="7">
        <v>45839</v>
      </c>
      <c r="B22" s="22">
        <v>124798</v>
      </c>
      <c r="C22" s="22">
        <v>698766</v>
      </c>
      <c r="D22" s="22">
        <v>2484137530</v>
      </c>
      <c r="E22" s="8">
        <f t="shared" si="3"/>
        <v>5.5991762688504627</v>
      </c>
      <c r="F22" s="18">
        <f t="shared" si="4"/>
        <v>19905.267151717177</v>
      </c>
      <c r="G22" s="18">
        <f t="shared" si="5"/>
        <v>3555.0349186995363</v>
      </c>
      <c r="H22" s="28"/>
    </row>
    <row r="23" spans="1:13" x14ac:dyDescent="0.35">
      <c r="A23" s="7">
        <v>45870</v>
      </c>
      <c r="B23" s="22">
        <v>130440</v>
      </c>
      <c r="C23" s="22">
        <v>724854</v>
      </c>
      <c r="D23" s="22">
        <v>2579135565</v>
      </c>
      <c r="E23" s="8">
        <f t="shared" si="3"/>
        <v>5.5569917203311867</v>
      </c>
      <c r="F23" s="18">
        <f t="shared" si="4"/>
        <v>19772.581761729532</v>
      </c>
      <c r="G23" s="18">
        <f>F23/E23</f>
        <v>3558.1449022837705</v>
      </c>
    </row>
    <row r="24" spans="1:13" x14ac:dyDescent="0.35">
      <c r="A24" s="7">
        <v>45901</v>
      </c>
      <c r="B24" s="22">
        <v>134194</v>
      </c>
      <c r="C24" s="22">
        <v>724548</v>
      </c>
      <c r="D24" s="22">
        <v>2567630814</v>
      </c>
      <c r="E24" s="8">
        <f t="shared" ref="E24:E34" si="6">IFERROR(C24/B24,"")</f>
        <v>5.3992577909593571</v>
      </c>
      <c r="F24" s="18">
        <f t="shared" ref="F24:F34" si="7">IFERROR(D24/B24,"")</f>
        <v>19133.722923528621</v>
      </c>
      <c r="G24" s="18">
        <f t="shared" ref="G24:G29" si="8">IFERROR(F24/E24,"")</f>
        <v>3543.7691001838389</v>
      </c>
    </row>
    <row r="25" spans="1:13" x14ac:dyDescent="0.35">
      <c r="A25" s="7">
        <v>45931</v>
      </c>
      <c r="B25" s="22">
        <v>138862</v>
      </c>
      <c r="C25" s="22">
        <v>738824</v>
      </c>
      <c r="D25" s="22">
        <v>2607172556</v>
      </c>
      <c r="E25" s="8">
        <f t="shared" si="6"/>
        <v>5.3205628609698836</v>
      </c>
      <c r="F25" s="18">
        <f t="shared" si="7"/>
        <v>18775.277296884677</v>
      </c>
      <c r="G25" s="18">
        <f t="shared" si="8"/>
        <v>3528.8141099910126</v>
      </c>
    </row>
    <row r="26" spans="1:13" x14ac:dyDescent="0.35">
      <c r="A26" s="7">
        <v>45962</v>
      </c>
      <c r="B26" s="22">
        <v>141979</v>
      </c>
      <c r="C26" s="22">
        <v>752076</v>
      </c>
      <c r="D26" s="22">
        <v>2673980607</v>
      </c>
      <c r="E26" s="8">
        <f t="shared" si="6"/>
        <v>5.2970932320977049</v>
      </c>
      <c r="F26" s="18">
        <f t="shared" si="7"/>
        <v>18833.634600891681</v>
      </c>
      <c r="G26" s="18">
        <f t="shared" si="8"/>
        <v>3555.4659462607501</v>
      </c>
    </row>
    <row r="27" spans="1:13" ht="15" thickBot="1" x14ac:dyDescent="0.4">
      <c r="A27" s="9">
        <v>45992</v>
      </c>
      <c r="B27" s="23">
        <v>142107</v>
      </c>
      <c r="C27" s="23">
        <v>753556</v>
      </c>
      <c r="D27" s="23">
        <v>2678492994</v>
      </c>
      <c r="E27" s="10">
        <f t="shared" si="6"/>
        <v>5.3027366702555119</v>
      </c>
      <c r="F27" s="20">
        <f t="shared" si="7"/>
        <v>18848.424032595158</v>
      </c>
      <c r="G27" s="20">
        <f t="shared" si="8"/>
        <v>3554.4710598814154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143055</v>
      </c>
      <c r="C28" s="21">
        <v>763227</v>
      </c>
      <c r="D28" s="21">
        <v>2693231903</v>
      </c>
      <c r="E28" s="5">
        <f t="shared" si="6"/>
        <v>5.3351997483485372</v>
      </c>
      <c r="F28" s="18">
        <f t="shared" si="7"/>
        <v>18826.54855125651</v>
      </c>
      <c r="G28" s="18">
        <f t="shared" si="8"/>
        <v>3528.7429598271551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145613</v>
      </c>
      <c r="C29" s="22">
        <v>794390</v>
      </c>
      <c r="D29" s="22">
        <v>2739112290</v>
      </c>
      <c r="E29" s="8">
        <f t="shared" si="6"/>
        <v>5.4554881775665631</v>
      </c>
      <c r="F29" s="18">
        <f t="shared" si="7"/>
        <v>18810.904864263492</v>
      </c>
      <c r="G29" s="18">
        <f t="shared" si="8"/>
        <v>3448.0699530457332</v>
      </c>
      <c r="H29" s="28"/>
    </row>
    <row r="30" spans="1:13" x14ac:dyDescent="0.35">
      <c r="A30" s="7">
        <v>46082</v>
      </c>
      <c r="B30" s="22">
        <v>146950</v>
      </c>
      <c r="C30" s="22">
        <v>831871</v>
      </c>
      <c r="D30" s="22">
        <v>2901482104</v>
      </c>
      <c r="E30" s="8">
        <f t="shared" si="6"/>
        <v>5.6609118747873426</v>
      </c>
      <c r="F30" s="18">
        <f t="shared" si="7"/>
        <v>19744.689377339229</v>
      </c>
      <c r="G30" s="18">
        <f t="shared" ref="G30" si="9">IFERROR(F30/E30,"")</f>
        <v>3487.8990901233483</v>
      </c>
      <c r="H30" s="28"/>
    </row>
    <row r="31" spans="1:13" x14ac:dyDescent="0.35">
      <c r="A31" s="7">
        <v>46113</v>
      </c>
      <c r="B31" s="22">
        <v>148094</v>
      </c>
      <c r="C31" s="22">
        <v>855727</v>
      </c>
      <c r="D31" s="22">
        <v>3026400570</v>
      </c>
      <c r="E31" s="8">
        <f t="shared" si="6"/>
        <v>5.7782692073953026</v>
      </c>
      <c r="F31" s="18">
        <f t="shared" si="7"/>
        <v>20435.673086012939</v>
      </c>
      <c r="G31" s="18">
        <f t="shared" ref="G31" si="10">IFERROR(F31/E31,"")</f>
        <v>3536.6426091498811</v>
      </c>
      <c r="H31" s="28"/>
    </row>
    <row r="32" spans="1:13" x14ac:dyDescent="0.35">
      <c r="A32" s="7">
        <v>46143</v>
      </c>
      <c r="B32" s="22">
        <v>149064</v>
      </c>
      <c r="C32" s="22">
        <v>881432</v>
      </c>
      <c r="D32" s="22">
        <v>3182209047</v>
      </c>
      <c r="E32" s="8">
        <f t="shared" si="6"/>
        <v>5.9131111468899267</v>
      </c>
      <c r="F32" s="18">
        <f t="shared" si="7"/>
        <v>21347.9381138303</v>
      </c>
      <c r="G32" s="18">
        <f t="shared" ref="G32" si="11">IFERROR(F32/E32,"")</f>
        <v>3610.2717475653253</v>
      </c>
      <c r="H32" s="28"/>
    </row>
    <row r="33" spans="1:13" x14ac:dyDescent="0.35">
      <c r="A33" s="7">
        <v>46174</v>
      </c>
      <c r="B33" s="22">
        <v>150010</v>
      </c>
      <c r="C33" s="22">
        <v>892449</v>
      </c>
      <c r="D33" s="22">
        <v>3233689864</v>
      </c>
      <c r="E33" s="8">
        <f t="shared" si="6"/>
        <v>5.9492633824411705</v>
      </c>
      <c r="F33" s="18">
        <f t="shared" si="7"/>
        <v>21556.495326978202</v>
      </c>
      <c r="G33" s="18">
        <f t="shared" ref="G33" si="12">IFERROR(F33/E33,"")</f>
        <v>3623.3889712465361</v>
      </c>
      <c r="H33" s="28"/>
    </row>
    <row r="34" spans="1:13" x14ac:dyDescent="0.35">
      <c r="A34" s="7">
        <v>46204</v>
      </c>
      <c r="B34" s="22">
        <v>150990</v>
      </c>
      <c r="C34" s="22">
        <v>908135</v>
      </c>
      <c r="D34" s="22">
        <v>3321058493</v>
      </c>
      <c r="E34" s="8">
        <f t="shared" si="6"/>
        <v>6.0145373865818925</v>
      </c>
      <c r="F34" s="18">
        <f t="shared" si="7"/>
        <v>21995.221491489501</v>
      </c>
      <c r="G34" s="18">
        <f t="shared" ref="G34" si="13">IFERROR(F34/E34,"")</f>
        <v>3657.0096879869184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EA89-8B2D-41E4-81FD-D74931FDAD87}">
  <dimension ref="A1:M39"/>
  <sheetViews>
    <sheetView zoomScale="90" zoomScaleNormal="90" workbookViewId="0">
      <pane xSplit="1" ySplit="3" topLeftCell="B27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F35" sqref="F35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34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15655</v>
      </c>
      <c r="C4" s="21">
        <v>91208</v>
      </c>
      <c r="D4" s="21">
        <v>287991257.03999996</v>
      </c>
      <c r="E4" s="5">
        <f t="shared" ref="E4:E7" si="0">C4/B4</f>
        <v>5.8261258383902907</v>
      </c>
      <c r="F4" s="18">
        <f t="shared" ref="F4:F7" si="1">D4/B4</f>
        <v>18396.119900351325</v>
      </c>
      <c r="G4" s="18">
        <f t="shared" ref="G4:G9" si="2">F4/E4</f>
        <v>3157.5218954477677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15698</v>
      </c>
      <c r="C5" s="22">
        <v>91289</v>
      </c>
      <c r="D5" s="22">
        <v>291112910.07000005</v>
      </c>
      <c r="E5" s="8">
        <f t="shared" si="0"/>
        <v>5.8153267932220665</v>
      </c>
      <c r="F5" s="18">
        <f t="shared" si="1"/>
        <v>18544.585938973119</v>
      </c>
      <c r="G5" s="18">
        <f t="shared" si="2"/>
        <v>3188.9155327586022</v>
      </c>
      <c r="H5" s="28"/>
    </row>
    <row r="6" spans="1:13" x14ac:dyDescent="0.35">
      <c r="A6" s="7">
        <v>45352</v>
      </c>
      <c r="B6" s="22">
        <v>15717</v>
      </c>
      <c r="C6" s="22">
        <v>91882</v>
      </c>
      <c r="D6" s="22">
        <v>296478736.01000011</v>
      </c>
      <c r="E6" s="8">
        <f t="shared" si="0"/>
        <v>5.846026595406248</v>
      </c>
      <c r="F6" s="18">
        <f t="shared" si="1"/>
        <v>18863.570402112371</v>
      </c>
      <c r="G6" s="18">
        <f t="shared" si="2"/>
        <v>3226.7335931956218</v>
      </c>
      <c r="H6" s="28"/>
    </row>
    <row r="7" spans="1:13" x14ac:dyDescent="0.35">
      <c r="A7" s="7">
        <v>45383</v>
      </c>
      <c r="B7" s="22">
        <v>15875</v>
      </c>
      <c r="C7" s="22">
        <v>92798</v>
      </c>
      <c r="D7" s="22">
        <v>304444579.34000003</v>
      </c>
      <c r="E7" s="8">
        <f t="shared" si="0"/>
        <v>5.8455433070866141</v>
      </c>
      <c r="F7" s="18">
        <f t="shared" si="1"/>
        <v>19177.611297007876</v>
      </c>
      <c r="G7" s="18">
        <f t="shared" si="2"/>
        <v>3280.723499859911</v>
      </c>
      <c r="H7" s="28"/>
    </row>
    <row r="8" spans="1:13" x14ac:dyDescent="0.35">
      <c r="A8" s="7">
        <v>45413</v>
      </c>
      <c r="B8" s="22">
        <v>15894</v>
      </c>
      <c r="C8" s="22">
        <v>93149</v>
      </c>
      <c r="D8" s="22">
        <v>311680385.40000015</v>
      </c>
      <c r="E8" s="8">
        <f t="shared" ref="E8:E23" si="3">C8/B8</f>
        <v>5.8606392349314209</v>
      </c>
      <c r="F8" s="18">
        <f t="shared" ref="F8:F23" si="4">D8/B8</f>
        <v>19609.939939599859</v>
      </c>
      <c r="G8" s="18">
        <f t="shared" si="2"/>
        <v>3346.0411319498885</v>
      </c>
      <c r="H8" s="28"/>
    </row>
    <row r="9" spans="1:13" x14ac:dyDescent="0.35">
      <c r="A9" s="7">
        <v>45444</v>
      </c>
      <c r="B9" s="22">
        <v>15894</v>
      </c>
      <c r="C9" s="22">
        <v>93087</v>
      </c>
      <c r="D9" s="22">
        <v>317861646.26999998</v>
      </c>
      <c r="E9" s="8">
        <f t="shared" si="3"/>
        <v>5.8567383918459797</v>
      </c>
      <c r="F9" s="18">
        <f t="shared" si="4"/>
        <v>19998.845241600604</v>
      </c>
      <c r="G9" s="18">
        <f t="shared" si="2"/>
        <v>3414.6727928711848</v>
      </c>
      <c r="H9" s="28"/>
    </row>
    <row r="10" spans="1:13" x14ac:dyDescent="0.35">
      <c r="A10" s="7">
        <v>45474</v>
      </c>
      <c r="B10" s="22">
        <v>15823</v>
      </c>
      <c r="C10" s="22">
        <v>93765</v>
      </c>
      <c r="D10" s="22">
        <v>330094140.56999999</v>
      </c>
      <c r="E10" s="8">
        <f t="shared" si="3"/>
        <v>5.9258674082032483</v>
      </c>
      <c r="F10" s="18">
        <f t="shared" si="4"/>
        <v>20861.665965366872</v>
      </c>
      <c r="G10" s="18">
        <f t="shared" ref="G10:G21" si="5">F10/E10</f>
        <v>3520.4408955367144</v>
      </c>
      <c r="H10" s="28"/>
    </row>
    <row r="11" spans="1:13" x14ac:dyDescent="0.35">
      <c r="A11" s="7">
        <v>45505</v>
      </c>
      <c r="B11" s="22">
        <v>15771</v>
      </c>
      <c r="C11" s="22">
        <v>94158</v>
      </c>
      <c r="D11" s="22">
        <v>335434570.11999995</v>
      </c>
      <c r="E11" s="8">
        <f t="shared" si="3"/>
        <v>5.9703252805782769</v>
      </c>
      <c r="F11" s="18">
        <f t="shared" si="4"/>
        <v>21269.074257814973</v>
      </c>
      <c r="G11" s="18">
        <f t="shared" si="5"/>
        <v>3562.4649006988243</v>
      </c>
      <c r="H11" s="28"/>
    </row>
    <row r="12" spans="1:13" x14ac:dyDescent="0.35">
      <c r="A12" s="7">
        <v>45536</v>
      </c>
      <c r="B12" s="22">
        <v>15771</v>
      </c>
      <c r="C12" s="22">
        <v>93520</v>
      </c>
      <c r="D12" s="22">
        <v>339645274.43999994</v>
      </c>
      <c r="E12" s="8">
        <f t="shared" si="3"/>
        <v>5.9298712827341324</v>
      </c>
      <c r="F12" s="18">
        <f t="shared" si="4"/>
        <v>21536.064576754798</v>
      </c>
      <c r="G12" s="18">
        <f t="shared" si="5"/>
        <v>3631.7929260051314</v>
      </c>
      <c r="H12" s="28"/>
    </row>
    <row r="13" spans="1:13" x14ac:dyDescent="0.35">
      <c r="A13" s="7">
        <v>45566</v>
      </c>
      <c r="B13" s="22">
        <v>15853</v>
      </c>
      <c r="C13" s="22">
        <v>94598</v>
      </c>
      <c r="D13" s="22">
        <v>350735049.20999992</v>
      </c>
      <c r="E13" s="8">
        <f t="shared" si="3"/>
        <v>5.9671986374818644</v>
      </c>
      <c r="F13" s="18">
        <f t="shared" si="4"/>
        <v>22124.206724910106</v>
      </c>
      <c r="G13" s="18">
        <f t="shared" si="5"/>
        <v>3707.6370452863689</v>
      </c>
      <c r="H13" s="28"/>
    </row>
    <row r="14" spans="1:13" x14ac:dyDescent="0.35">
      <c r="A14" s="7">
        <v>45597</v>
      </c>
      <c r="B14" s="22">
        <v>15575</v>
      </c>
      <c r="C14" s="22">
        <v>82088</v>
      </c>
      <c r="D14" s="22">
        <v>297125495.83000016</v>
      </c>
      <c r="E14" s="8">
        <f t="shared" si="3"/>
        <v>5.270497592295345</v>
      </c>
      <c r="F14" s="18">
        <f t="shared" si="4"/>
        <v>19077.078383948647</v>
      </c>
      <c r="G14" s="18">
        <f t="shared" si="5"/>
        <v>3619.5972106763497</v>
      </c>
      <c r="H14" s="28"/>
    </row>
    <row r="15" spans="1:13" ht="15" thickBot="1" x14ac:dyDescent="0.4">
      <c r="A15" s="9">
        <v>45627</v>
      </c>
      <c r="B15" s="23">
        <v>15531</v>
      </c>
      <c r="C15" s="23">
        <v>81205</v>
      </c>
      <c r="D15" s="23">
        <v>295855220.44</v>
      </c>
      <c r="E15" s="10">
        <f t="shared" si="3"/>
        <v>5.2285751078488181</v>
      </c>
      <c r="F15" s="20">
        <f t="shared" si="4"/>
        <v>19049.334906960274</v>
      </c>
      <c r="G15" s="20">
        <f t="shared" si="5"/>
        <v>3643.3128556123397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15790</v>
      </c>
      <c r="C16" s="21">
        <v>82110</v>
      </c>
      <c r="D16" s="21">
        <v>306525259.80999994</v>
      </c>
      <c r="E16" s="5">
        <f t="shared" si="3"/>
        <v>5.2001266624445854</v>
      </c>
      <c r="F16" s="18">
        <f t="shared" si="4"/>
        <v>19412.619367321087</v>
      </c>
      <c r="G16" s="18">
        <f t="shared" si="5"/>
        <v>3733.1051005967597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16149</v>
      </c>
      <c r="C17" s="22">
        <v>84291</v>
      </c>
      <c r="D17" s="22">
        <v>321285327.20000017</v>
      </c>
      <c r="E17" s="8">
        <f t="shared" si="3"/>
        <v>5.2195801597622147</v>
      </c>
      <c r="F17" s="18">
        <f t="shared" si="4"/>
        <v>19895.060201870096</v>
      </c>
      <c r="G17" s="18">
        <f t="shared" si="5"/>
        <v>3811.62078039174</v>
      </c>
      <c r="H17" s="28"/>
    </row>
    <row r="18" spans="1:13" x14ac:dyDescent="0.35">
      <c r="A18" s="7">
        <v>45717</v>
      </c>
      <c r="B18" s="22">
        <v>16371</v>
      </c>
      <c r="C18" s="22">
        <v>85643</v>
      </c>
      <c r="D18" s="22">
        <v>328298650.08999991</v>
      </c>
      <c r="E18" s="8">
        <f t="shared" si="3"/>
        <v>5.2313847657443038</v>
      </c>
      <c r="F18" s="18">
        <f t="shared" si="4"/>
        <v>20053.6711312687</v>
      </c>
      <c r="G18" s="18">
        <f t="shared" si="5"/>
        <v>3833.3389779666745</v>
      </c>
      <c r="H18" s="28"/>
    </row>
    <row r="19" spans="1:13" x14ac:dyDescent="0.35">
      <c r="A19" s="7">
        <v>45748</v>
      </c>
      <c r="B19" s="22">
        <v>16918</v>
      </c>
      <c r="C19" s="22">
        <v>87593</v>
      </c>
      <c r="D19" s="22">
        <v>337805857</v>
      </c>
      <c r="E19" s="8">
        <f t="shared" si="3"/>
        <v>5.1775032509752927</v>
      </c>
      <c r="F19" s="18">
        <f t="shared" si="4"/>
        <v>19967.245359971628</v>
      </c>
      <c r="G19" s="18">
        <f t="shared" si="5"/>
        <v>3856.5394152500771</v>
      </c>
      <c r="H19" s="28"/>
    </row>
    <row r="20" spans="1:13" x14ac:dyDescent="0.35">
      <c r="A20" s="7">
        <v>45778</v>
      </c>
      <c r="B20" s="22">
        <v>17216</v>
      </c>
      <c r="C20" s="22">
        <v>85551</v>
      </c>
      <c r="D20" s="22">
        <v>334589218</v>
      </c>
      <c r="E20" s="8">
        <f t="shared" si="3"/>
        <v>4.9692727695167287</v>
      </c>
      <c r="F20" s="18">
        <f t="shared" si="4"/>
        <v>19434.782644052044</v>
      </c>
      <c r="G20" s="18">
        <f t="shared" si="5"/>
        <v>3910.9913151219739</v>
      </c>
      <c r="H20" s="28"/>
    </row>
    <row r="21" spans="1:13" x14ac:dyDescent="0.35">
      <c r="A21" s="7">
        <v>45809</v>
      </c>
      <c r="B21" s="22">
        <v>17241</v>
      </c>
      <c r="C21" s="22">
        <v>86582</v>
      </c>
      <c r="D21" s="22">
        <v>337569073</v>
      </c>
      <c r="E21" s="8">
        <f t="shared" si="3"/>
        <v>5.0218664810625837</v>
      </c>
      <c r="F21" s="18">
        <f t="shared" si="4"/>
        <v>19579.436981613595</v>
      </c>
      <c r="G21" s="18">
        <f t="shared" si="5"/>
        <v>3898.8366288605016</v>
      </c>
      <c r="H21" s="28"/>
    </row>
    <row r="22" spans="1:13" x14ac:dyDescent="0.35">
      <c r="A22" s="7">
        <v>45839</v>
      </c>
      <c r="B22" s="22">
        <v>17836</v>
      </c>
      <c r="C22" s="22">
        <v>88565</v>
      </c>
      <c r="D22" s="22">
        <v>350501853</v>
      </c>
      <c r="E22" s="8">
        <f t="shared" si="3"/>
        <v>4.9655191747028482</v>
      </c>
      <c r="F22" s="18">
        <f t="shared" si="4"/>
        <v>19651.370991253643</v>
      </c>
      <c r="G22" s="18">
        <f>F22/E22</f>
        <v>3957.5662281939817</v>
      </c>
      <c r="H22" s="28"/>
    </row>
    <row r="23" spans="1:13" x14ac:dyDescent="0.35">
      <c r="A23" s="7">
        <v>45870</v>
      </c>
      <c r="B23" s="22">
        <v>18084</v>
      </c>
      <c r="C23" s="22">
        <v>89999</v>
      </c>
      <c r="D23" s="22">
        <v>361483161</v>
      </c>
      <c r="E23" s="8">
        <f t="shared" si="3"/>
        <v>4.9767197522671971</v>
      </c>
      <c r="F23" s="18">
        <f t="shared" si="4"/>
        <v>19989.115295288651</v>
      </c>
      <c r="G23" s="18">
        <f>F23/E23</f>
        <v>4016.5241947132745</v>
      </c>
    </row>
    <row r="24" spans="1:13" x14ac:dyDescent="0.35">
      <c r="A24" s="7">
        <v>45901</v>
      </c>
      <c r="B24" s="22">
        <v>18527</v>
      </c>
      <c r="C24" s="22">
        <v>91706</v>
      </c>
      <c r="D24" s="22">
        <v>371367861</v>
      </c>
      <c r="E24" s="8">
        <f t="shared" ref="E24:E34" si="6">IFERROR(C24/B24,"")</f>
        <v>4.9498569655097961</v>
      </c>
      <c r="F24" s="18">
        <f t="shared" ref="F24:F34" si="7">IFERROR(D24/B24,"")</f>
        <v>20044.684028714848</v>
      </c>
      <c r="G24" s="18">
        <f t="shared" ref="G24:G29" si="8">IFERROR(F24/E24,"")</f>
        <v>4049.5481320742374</v>
      </c>
    </row>
    <row r="25" spans="1:13" x14ac:dyDescent="0.35">
      <c r="A25" s="7">
        <v>45931</v>
      </c>
      <c r="B25" s="22">
        <v>20179</v>
      </c>
      <c r="C25" s="22">
        <v>96601</v>
      </c>
      <c r="D25" s="22">
        <v>387316468</v>
      </c>
      <c r="E25" s="8">
        <f t="shared" si="6"/>
        <v>4.787204519550027</v>
      </c>
      <c r="F25" s="18">
        <f t="shared" si="7"/>
        <v>19194.036770900442</v>
      </c>
      <c r="G25" s="18">
        <f t="shared" si="8"/>
        <v>4009.4457407273221</v>
      </c>
    </row>
    <row r="26" spans="1:13" x14ac:dyDescent="0.35">
      <c r="A26" s="7">
        <v>45962</v>
      </c>
      <c r="B26" s="22">
        <v>21704</v>
      </c>
      <c r="C26" s="22">
        <v>100916</v>
      </c>
      <c r="D26" s="22">
        <v>425711239</v>
      </c>
      <c r="E26" s="8">
        <f t="shared" si="6"/>
        <v>4.6496498341319574</v>
      </c>
      <c r="F26" s="18">
        <f t="shared" si="7"/>
        <v>19614.413886841136</v>
      </c>
      <c r="G26" s="18">
        <f t="shared" si="8"/>
        <v>4218.471193864204</v>
      </c>
    </row>
    <row r="27" spans="1:13" ht="15" thickBot="1" x14ac:dyDescent="0.4">
      <c r="A27" s="9">
        <v>45992</v>
      </c>
      <c r="B27" s="23">
        <v>22964</v>
      </c>
      <c r="C27" s="23">
        <v>103411</v>
      </c>
      <c r="D27" s="23">
        <v>435671072</v>
      </c>
      <c r="E27" s="10">
        <f t="shared" si="6"/>
        <v>4.5031788886953494</v>
      </c>
      <c r="F27" s="20">
        <f t="shared" si="7"/>
        <v>18971.915694129944</v>
      </c>
      <c r="G27" s="20">
        <f t="shared" si="8"/>
        <v>4213.0051155099554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15668</v>
      </c>
      <c r="C28" s="21">
        <v>65454</v>
      </c>
      <c r="D28" s="21">
        <v>253131624</v>
      </c>
      <c r="E28" s="5">
        <f t="shared" si="6"/>
        <v>4.177559356650498</v>
      </c>
      <c r="F28" s="18">
        <f t="shared" si="7"/>
        <v>16155.962726576461</v>
      </c>
      <c r="G28" s="18">
        <f t="shared" si="8"/>
        <v>3867.3209276743969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15711</v>
      </c>
      <c r="C29" s="22">
        <v>65704</v>
      </c>
      <c r="D29" s="22">
        <v>255308289</v>
      </c>
      <c r="E29" s="8">
        <f t="shared" si="6"/>
        <v>4.1820380625039784</v>
      </c>
      <c r="F29" s="18">
        <f t="shared" si="7"/>
        <v>16250.288905862135</v>
      </c>
      <c r="G29" s="18">
        <f t="shared" si="8"/>
        <v>3885.7343388530376</v>
      </c>
      <c r="H29" s="28"/>
    </row>
    <row r="30" spans="1:13" x14ac:dyDescent="0.35">
      <c r="A30" s="7">
        <v>46082</v>
      </c>
      <c r="B30" s="22">
        <v>15756</v>
      </c>
      <c r="C30" s="22">
        <v>66104</v>
      </c>
      <c r="D30" s="22">
        <v>262524422</v>
      </c>
      <c r="E30" s="8">
        <f t="shared" si="6"/>
        <v>4.1954810865701955</v>
      </c>
      <c r="F30" s="18">
        <f t="shared" si="7"/>
        <v>16661.869890835238</v>
      </c>
      <c r="G30" s="18">
        <f t="shared" ref="G30" si="9">IFERROR(F30/E30,"")</f>
        <v>3971.3848178627618</v>
      </c>
      <c r="H30" s="28"/>
    </row>
    <row r="31" spans="1:13" x14ac:dyDescent="0.35">
      <c r="A31" s="7">
        <v>46113</v>
      </c>
      <c r="B31" s="22">
        <v>15843</v>
      </c>
      <c r="C31" s="22">
        <v>66039</v>
      </c>
      <c r="D31" s="22">
        <v>260589556</v>
      </c>
      <c r="E31" s="8">
        <f t="shared" si="6"/>
        <v>4.1683393296724107</v>
      </c>
      <c r="F31" s="18">
        <f t="shared" si="7"/>
        <v>16448.245660544089</v>
      </c>
      <c r="G31" s="18">
        <f t="shared" ref="G31" si="10">IFERROR(F31/E31,"")</f>
        <v>3945.9948818122625</v>
      </c>
      <c r="H31" s="28"/>
    </row>
    <row r="32" spans="1:13" x14ac:dyDescent="0.35">
      <c r="A32" s="7">
        <v>46143</v>
      </c>
      <c r="B32" s="22">
        <v>15929</v>
      </c>
      <c r="C32" s="22">
        <v>66760</v>
      </c>
      <c r="D32" s="22">
        <v>272687889</v>
      </c>
      <c r="E32" s="8">
        <f t="shared" si="6"/>
        <v>4.1910979973632996</v>
      </c>
      <c r="F32" s="18">
        <f t="shared" si="7"/>
        <v>17118.958440580074</v>
      </c>
      <c r="G32" s="18">
        <f t="shared" ref="G32" si="11">IFERROR(F32/E32,"")</f>
        <v>4084.5998951467946</v>
      </c>
      <c r="H32" s="28"/>
    </row>
    <row r="33" spans="1:13" x14ac:dyDescent="0.35">
      <c r="A33" s="7">
        <v>46174</v>
      </c>
      <c r="B33" s="22">
        <v>15974</v>
      </c>
      <c r="C33" s="22">
        <v>66436</v>
      </c>
      <c r="D33" s="22">
        <v>272737245</v>
      </c>
      <c r="E33" s="8">
        <f t="shared" si="6"/>
        <v>4.1590083886315261</v>
      </c>
      <c r="F33" s="18">
        <f t="shared" si="7"/>
        <v>17073.822774508575</v>
      </c>
      <c r="G33" s="18">
        <f t="shared" ref="G33" si="12">IFERROR(F33/E33,"")</f>
        <v>4105.2628845806485</v>
      </c>
      <c r="H33" s="28"/>
    </row>
    <row r="34" spans="1:13" x14ac:dyDescent="0.35">
      <c r="A34" s="7">
        <v>46204</v>
      </c>
      <c r="B34" s="22">
        <v>15951</v>
      </c>
      <c r="C34" s="22">
        <v>65701</v>
      </c>
      <c r="D34" s="22">
        <v>256727390</v>
      </c>
      <c r="E34" s="8">
        <f t="shared" si="6"/>
        <v>4.1189267130587428</v>
      </c>
      <c r="F34" s="18">
        <f t="shared" si="7"/>
        <v>16094.752053162811</v>
      </c>
      <c r="G34" s="18">
        <f t="shared" ref="G34" si="13">IFERROR(F34/E34,"")</f>
        <v>3907.5111489931655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A756-CD16-4FC7-8908-86BEF4BF2840}">
  <dimension ref="A1:M39"/>
  <sheetViews>
    <sheetView zoomScale="90" zoomScaleNormal="90" workbookViewId="0">
      <pane xSplit="1" ySplit="3" topLeftCell="B27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E37" sqref="E37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35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312999</v>
      </c>
      <c r="C4" s="21">
        <v>1864563</v>
      </c>
      <c r="D4" s="21">
        <v>4664393158.0599918</v>
      </c>
      <c r="E4" s="5">
        <f t="shared" ref="E4:E7" si="0">C4/B4</f>
        <v>5.9570893197741848</v>
      </c>
      <c r="F4" s="18">
        <f t="shared" ref="F4:F7" si="1">D4/B4</f>
        <v>14902.262173553245</v>
      </c>
      <c r="G4" s="18">
        <f t="shared" ref="G4:G9" si="2">F4/E4</f>
        <v>2501.601264242609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315823</v>
      </c>
      <c r="C5" s="22">
        <v>1871482</v>
      </c>
      <c r="D5" s="22">
        <v>4749708930.1999912</v>
      </c>
      <c r="E5" s="8">
        <f t="shared" si="0"/>
        <v>5.9257305516064376</v>
      </c>
      <c r="F5" s="18">
        <f t="shared" si="1"/>
        <v>15039.148289389916</v>
      </c>
      <c r="G5" s="18">
        <f t="shared" si="2"/>
        <v>2537.9399482335343</v>
      </c>
      <c r="H5" s="28"/>
    </row>
    <row r="6" spans="1:13" x14ac:dyDescent="0.35">
      <c r="A6" s="7">
        <v>45352</v>
      </c>
      <c r="B6" s="22">
        <v>318969</v>
      </c>
      <c r="C6" s="22">
        <v>1929363</v>
      </c>
      <c r="D6" s="22">
        <v>4958068905.0999889</v>
      </c>
      <c r="E6" s="8">
        <f t="shared" si="0"/>
        <v>6.0487476839442076</v>
      </c>
      <c r="F6" s="18">
        <f t="shared" si="1"/>
        <v>15544.046302618715</v>
      </c>
      <c r="G6" s="18">
        <f t="shared" si="2"/>
        <v>2569.7957849818772</v>
      </c>
      <c r="H6" s="28"/>
    </row>
    <row r="7" spans="1:13" x14ac:dyDescent="0.35">
      <c r="A7" s="7">
        <v>45383</v>
      </c>
      <c r="B7" s="22">
        <v>321254</v>
      </c>
      <c r="C7" s="22">
        <v>1939129</v>
      </c>
      <c r="D7" s="22">
        <v>5081761280.1799898</v>
      </c>
      <c r="E7" s="8">
        <f t="shared" si="0"/>
        <v>6.0361240638248859</v>
      </c>
      <c r="F7" s="18">
        <f t="shared" si="1"/>
        <v>15818.515194145411</v>
      </c>
      <c r="G7" s="18">
        <f t="shared" si="2"/>
        <v>2620.6411642443541</v>
      </c>
      <c r="H7" s="28"/>
    </row>
    <row r="8" spans="1:13" x14ac:dyDescent="0.35">
      <c r="A8" s="7">
        <v>45413</v>
      </c>
      <c r="B8" s="22">
        <v>321311</v>
      </c>
      <c r="C8" s="22">
        <v>1957662</v>
      </c>
      <c r="D8" s="22">
        <v>5240205312.4999981</v>
      </c>
      <c r="E8" s="8">
        <f t="shared" ref="E8:E23" si="3">C8/B8</f>
        <v>6.0927325861859689</v>
      </c>
      <c r="F8" s="18">
        <f t="shared" ref="F8:F23" si="4">D8/B8</f>
        <v>16308.826378493106</v>
      </c>
      <c r="G8" s="18">
        <f t="shared" si="2"/>
        <v>2676.7671398331267</v>
      </c>
      <c r="H8" s="28"/>
    </row>
    <row r="9" spans="1:13" x14ac:dyDescent="0.35">
      <c r="A9" s="7">
        <v>45444</v>
      </c>
      <c r="B9" s="22">
        <v>322060</v>
      </c>
      <c r="C9" s="22">
        <v>1962923</v>
      </c>
      <c r="D9" s="22">
        <v>5318373593.1999998</v>
      </c>
      <c r="E9" s="8">
        <f t="shared" si="3"/>
        <v>6.0948984661243246</v>
      </c>
      <c r="F9" s="18">
        <f t="shared" si="4"/>
        <v>16513.611107247096</v>
      </c>
      <c r="G9" s="18">
        <f t="shared" si="2"/>
        <v>2709.4152919905669</v>
      </c>
      <c r="H9" s="28"/>
    </row>
    <row r="10" spans="1:13" x14ac:dyDescent="0.35">
      <c r="A10" s="7">
        <v>45474</v>
      </c>
      <c r="B10" s="22">
        <v>318446</v>
      </c>
      <c r="C10" s="22">
        <v>1952574</v>
      </c>
      <c r="D10" s="22">
        <v>5298824731.6300001</v>
      </c>
      <c r="E10" s="8">
        <f t="shared" si="3"/>
        <v>6.1315701877241358</v>
      </c>
      <c r="F10" s="18">
        <f t="shared" si="4"/>
        <v>16639.633506559981</v>
      </c>
      <c r="G10" s="18">
        <f t="shared" ref="G10:G21" si="5">F10/E10</f>
        <v>2713.7638479412303</v>
      </c>
      <c r="H10" s="28"/>
    </row>
    <row r="11" spans="1:13" x14ac:dyDescent="0.35">
      <c r="A11" s="7">
        <v>45505</v>
      </c>
      <c r="B11" s="22">
        <v>317292</v>
      </c>
      <c r="C11" s="22">
        <v>1960229</v>
      </c>
      <c r="D11" s="22">
        <v>5352131638.8899879</v>
      </c>
      <c r="E11" s="8">
        <f t="shared" si="3"/>
        <v>6.1779969239690882</v>
      </c>
      <c r="F11" s="18">
        <f t="shared" si="4"/>
        <v>16868.158159959872</v>
      </c>
      <c r="G11" s="18">
        <f t="shared" si="5"/>
        <v>2730.3604012031187</v>
      </c>
      <c r="H11" s="28"/>
    </row>
    <row r="12" spans="1:13" x14ac:dyDescent="0.35">
      <c r="A12" s="7">
        <v>45536</v>
      </c>
      <c r="B12" s="22">
        <v>321205</v>
      </c>
      <c r="C12" s="22">
        <v>1987228</v>
      </c>
      <c r="D12" s="22">
        <v>5488713088.6899862</v>
      </c>
      <c r="E12" s="8">
        <f t="shared" si="3"/>
        <v>6.1867903675222991</v>
      </c>
      <c r="F12" s="18">
        <f t="shared" si="4"/>
        <v>17087.881847075812</v>
      </c>
      <c r="G12" s="18">
        <f t="shared" si="5"/>
        <v>2761.9946421296331</v>
      </c>
      <c r="H12" s="28"/>
    </row>
    <row r="13" spans="1:13" x14ac:dyDescent="0.35">
      <c r="A13" s="7">
        <v>45566</v>
      </c>
      <c r="B13" s="22">
        <v>329056</v>
      </c>
      <c r="C13" s="22">
        <v>2029453</v>
      </c>
      <c r="D13" s="22">
        <v>5681156722.3699913</v>
      </c>
      <c r="E13" s="8">
        <f t="shared" si="3"/>
        <v>6.1675003646795679</v>
      </c>
      <c r="F13" s="18">
        <f t="shared" si="4"/>
        <v>17265.014837504837</v>
      </c>
      <c r="G13" s="18">
        <f t="shared" si="5"/>
        <v>2799.3536792278474</v>
      </c>
      <c r="H13" s="28"/>
    </row>
    <row r="14" spans="1:13" x14ac:dyDescent="0.35">
      <c r="A14" s="7">
        <v>45597</v>
      </c>
      <c r="B14" s="22">
        <v>319087</v>
      </c>
      <c r="C14" s="22">
        <v>1836545</v>
      </c>
      <c r="D14" s="22">
        <v>5001220775.2699938</v>
      </c>
      <c r="E14" s="8">
        <f t="shared" si="3"/>
        <v>5.7556246415554382</v>
      </c>
      <c r="F14" s="18">
        <f t="shared" si="4"/>
        <v>15673.533472908623</v>
      </c>
      <c r="G14" s="18">
        <f t="shared" si="5"/>
        <v>2723.1681092867279</v>
      </c>
      <c r="H14" s="28"/>
    </row>
    <row r="15" spans="1:13" ht="15" thickBot="1" x14ac:dyDescent="0.4">
      <c r="A15" s="9">
        <v>45627</v>
      </c>
      <c r="B15" s="23">
        <v>316175</v>
      </c>
      <c r="C15" s="23">
        <v>1823530</v>
      </c>
      <c r="D15" s="23">
        <v>4940111470.3799944</v>
      </c>
      <c r="E15" s="10">
        <f t="shared" si="3"/>
        <v>5.7674705463746347</v>
      </c>
      <c r="F15" s="20">
        <f t="shared" si="4"/>
        <v>15624.611276603129</v>
      </c>
      <c r="G15" s="20">
        <f t="shared" si="5"/>
        <v>2709.0925130817668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320671</v>
      </c>
      <c r="C16" s="21">
        <v>1844899</v>
      </c>
      <c r="D16" s="21">
        <v>5085373674.569994</v>
      </c>
      <c r="E16" s="5">
        <f t="shared" si="3"/>
        <v>5.7532455382619574</v>
      </c>
      <c r="F16" s="18">
        <f t="shared" si="4"/>
        <v>15858.539358314267</v>
      </c>
      <c r="G16" s="18">
        <f t="shared" si="5"/>
        <v>2756.4509897669163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325550</v>
      </c>
      <c r="C17" s="22">
        <v>1886575</v>
      </c>
      <c r="D17" s="22">
        <v>5333127380.2199907</v>
      </c>
      <c r="E17" s="8">
        <f t="shared" si="3"/>
        <v>5.7950391644908619</v>
      </c>
      <c r="F17" s="18">
        <f t="shared" si="4"/>
        <v>16381.899493841163</v>
      </c>
      <c r="G17" s="18">
        <f t="shared" si="5"/>
        <v>2826.8833098180517</v>
      </c>
      <c r="H17" s="28"/>
    </row>
    <row r="18" spans="1:13" x14ac:dyDescent="0.35">
      <c r="A18" s="7">
        <v>45717</v>
      </c>
      <c r="B18" s="22">
        <v>331383</v>
      </c>
      <c r="C18" s="22">
        <v>1925516</v>
      </c>
      <c r="D18" s="22">
        <v>5514285282.9099922</v>
      </c>
      <c r="E18" s="8">
        <f t="shared" si="3"/>
        <v>5.8105455017306262</v>
      </c>
      <c r="F18" s="18">
        <f t="shared" si="4"/>
        <v>16640.217762860473</v>
      </c>
      <c r="G18" s="18">
        <f t="shared" si="5"/>
        <v>2863.7961371964666</v>
      </c>
      <c r="H18" s="28"/>
    </row>
    <row r="19" spans="1:13" x14ac:dyDescent="0.35">
      <c r="A19" s="7">
        <v>45748</v>
      </c>
      <c r="B19" s="22">
        <v>335582</v>
      </c>
      <c r="C19" s="22">
        <v>1951121</v>
      </c>
      <c r="D19" s="22">
        <v>5654653990</v>
      </c>
      <c r="E19" s="8">
        <f t="shared" si="3"/>
        <v>5.8141408061219018</v>
      </c>
      <c r="F19" s="18">
        <f t="shared" si="4"/>
        <v>16850.289914238547</v>
      </c>
      <c r="G19" s="18">
        <f t="shared" si="5"/>
        <v>2898.1564905508167</v>
      </c>
      <c r="H19" s="28"/>
    </row>
    <row r="20" spans="1:13" x14ac:dyDescent="0.35">
      <c r="A20" s="7">
        <v>45778</v>
      </c>
      <c r="B20" s="22">
        <v>341878</v>
      </c>
      <c r="C20" s="22">
        <v>1990663</v>
      </c>
      <c r="D20" s="22">
        <v>5863089054</v>
      </c>
      <c r="E20" s="8">
        <f t="shared" si="3"/>
        <v>5.8227291606947507</v>
      </c>
      <c r="F20" s="18">
        <f t="shared" si="4"/>
        <v>17149.652958072762</v>
      </c>
      <c r="G20" s="18">
        <f t="shared" si="5"/>
        <v>2945.294635003514</v>
      </c>
      <c r="H20" s="28"/>
    </row>
    <row r="21" spans="1:13" x14ac:dyDescent="0.35">
      <c r="A21" s="7">
        <v>45809</v>
      </c>
      <c r="B21" s="22">
        <v>342249</v>
      </c>
      <c r="C21" s="22">
        <v>2008401</v>
      </c>
      <c r="D21" s="22">
        <v>5867375384</v>
      </c>
      <c r="E21" s="8">
        <f t="shared" si="3"/>
        <v>5.8682450496568288</v>
      </c>
      <c r="F21" s="18">
        <f t="shared" si="4"/>
        <v>17143.586640136276</v>
      </c>
      <c r="G21" s="18">
        <f t="shared" si="5"/>
        <v>2921.4162829036636</v>
      </c>
      <c r="H21" s="28"/>
    </row>
    <row r="22" spans="1:13" x14ac:dyDescent="0.35">
      <c r="A22" s="7">
        <v>45839</v>
      </c>
      <c r="B22" s="22">
        <v>348461</v>
      </c>
      <c r="C22" s="22">
        <v>2035759</v>
      </c>
      <c r="D22" s="22">
        <v>5998697787</v>
      </c>
      <c r="E22" s="8">
        <f t="shared" si="3"/>
        <v>5.8421430231790641</v>
      </c>
      <c r="F22" s="18">
        <f t="shared" si="4"/>
        <v>17214.832612544877</v>
      </c>
      <c r="G22" s="18">
        <f>F22/E22</f>
        <v>2946.6640142570909</v>
      </c>
      <c r="H22" s="28"/>
    </row>
    <row r="23" spans="1:13" x14ac:dyDescent="0.35">
      <c r="A23" s="7">
        <v>45870</v>
      </c>
      <c r="B23" s="22">
        <v>353652</v>
      </c>
      <c r="C23" s="22">
        <v>2073692</v>
      </c>
      <c r="D23" s="22">
        <v>6187255403</v>
      </c>
      <c r="E23" s="8">
        <f t="shared" si="3"/>
        <v>5.8636512730028389</v>
      </c>
      <c r="F23" s="18">
        <f t="shared" si="4"/>
        <v>17495.321397871354</v>
      </c>
      <c r="G23" s="18">
        <f>F23/E23</f>
        <v>2983.6906363143612</v>
      </c>
    </row>
    <row r="24" spans="1:13" x14ac:dyDescent="0.35">
      <c r="A24" s="7">
        <v>45901</v>
      </c>
      <c r="B24" s="22">
        <v>363774</v>
      </c>
      <c r="C24" s="22">
        <v>2093848</v>
      </c>
      <c r="D24" s="22">
        <v>6230434274</v>
      </c>
      <c r="E24" s="8">
        <f t="shared" ref="E24:E34" si="6">IFERROR(C24/B24,"")</f>
        <v>5.7559033905666706</v>
      </c>
      <c r="F24" s="18">
        <f t="shared" ref="F24:F34" si="7">IFERROR(D24/B24,"")</f>
        <v>17127.211603907919</v>
      </c>
      <c r="G24" s="18">
        <f t="shared" ref="G24:G29" si="8">IFERROR(F24/E24,"")</f>
        <v>2975.5905271060742</v>
      </c>
    </row>
    <row r="25" spans="1:13" x14ac:dyDescent="0.35">
      <c r="A25" s="7">
        <v>45931</v>
      </c>
      <c r="B25" s="22">
        <v>375330</v>
      </c>
      <c r="C25" s="22">
        <v>2132194</v>
      </c>
      <c r="D25" s="22">
        <v>6314190084</v>
      </c>
      <c r="E25" s="8">
        <f t="shared" si="6"/>
        <v>5.6808515173314147</v>
      </c>
      <c r="F25" s="18">
        <f t="shared" si="7"/>
        <v>16823.035952361923</v>
      </c>
      <c r="G25" s="18">
        <f t="shared" si="8"/>
        <v>2961.3581522131667</v>
      </c>
    </row>
    <row r="26" spans="1:13" x14ac:dyDescent="0.35">
      <c r="A26" s="7">
        <v>45962</v>
      </c>
      <c r="B26" s="22">
        <v>383297</v>
      </c>
      <c r="C26" s="22">
        <v>2161473</v>
      </c>
      <c r="D26" s="22">
        <v>6519612980</v>
      </c>
      <c r="E26" s="8">
        <f t="shared" si="6"/>
        <v>5.6391597116596266</v>
      </c>
      <c r="F26" s="18">
        <f t="shared" si="7"/>
        <v>17009.298220440025</v>
      </c>
      <c r="G26" s="18">
        <f t="shared" si="8"/>
        <v>3016.2824055632436</v>
      </c>
    </row>
    <row r="27" spans="1:13" ht="15" thickBot="1" x14ac:dyDescent="0.4">
      <c r="A27" s="9">
        <v>45992</v>
      </c>
      <c r="B27" s="23">
        <v>386175</v>
      </c>
      <c r="C27" s="23">
        <v>2184965</v>
      </c>
      <c r="D27" s="23">
        <v>6575624932</v>
      </c>
      <c r="E27" s="10">
        <f t="shared" si="6"/>
        <v>5.6579659480805331</v>
      </c>
      <c r="F27" s="20">
        <f t="shared" si="7"/>
        <v>17027.577994432577</v>
      </c>
      <c r="G27" s="20">
        <f t="shared" si="8"/>
        <v>3009.4875350406073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321980</v>
      </c>
      <c r="C28" s="21">
        <v>1612287</v>
      </c>
      <c r="D28" s="21">
        <v>4177816225</v>
      </c>
      <c r="E28" s="5">
        <f t="shared" si="6"/>
        <v>5.0074135039443446</v>
      </c>
      <c r="F28" s="18">
        <f t="shared" si="7"/>
        <v>12975.390474563637</v>
      </c>
      <c r="G28" s="18">
        <f t="shared" si="8"/>
        <v>2591.2360671518159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324175</v>
      </c>
      <c r="C29" s="22">
        <v>1628643</v>
      </c>
      <c r="D29" s="22">
        <v>4233371804</v>
      </c>
      <c r="E29" s="8">
        <f t="shared" si="6"/>
        <v>5.0239623660060149</v>
      </c>
      <c r="F29" s="18">
        <f t="shared" si="7"/>
        <v>13058.908934988818</v>
      </c>
      <c r="G29" s="18">
        <f t="shared" si="8"/>
        <v>2599.3245935419859</v>
      </c>
      <c r="H29" s="28"/>
    </row>
    <row r="30" spans="1:13" x14ac:dyDescent="0.35">
      <c r="A30" s="7">
        <v>46082</v>
      </c>
      <c r="B30" s="22">
        <v>324660</v>
      </c>
      <c r="C30" s="22">
        <v>1656696</v>
      </c>
      <c r="D30" s="22">
        <v>4354508255</v>
      </c>
      <c r="E30" s="8">
        <f t="shared" si="6"/>
        <v>5.102864535206062</v>
      </c>
      <c r="F30" s="18">
        <f t="shared" si="7"/>
        <v>13412.518496273024</v>
      </c>
      <c r="G30" s="18">
        <f t="shared" ref="G30" si="9">IFERROR(F30/E30,"")</f>
        <v>2628.4292682544051</v>
      </c>
      <c r="H30" s="28"/>
    </row>
    <row r="31" spans="1:13" x14ac:dyDescent="0.35">
      <c r="A31" s="7">
        <v>46113</v>
      </c>
      <c r="B31" s="22">
        <v>326255</v>
      </c>
      <c r="C31" s="22">
        <v>1681192</v>
      </c>
      <c r="D31" s="22">
        <v>4461402086</v>
      </c>
      <c r="E31" s="8">
        <f t="shared" si="6"/>
        <v>5.1529999540236933</v>
      </c>
      <c r="F31" s="18">
        <f t="shared" si="7"/>
        <v>13674.586093699714</v>
      </c>
      <c r="G31" s="18">
        <f t="shared" ref="G31" si="10">IFERROR(F31/E31,"")</f>
        <v>2653.7136067742413</v>
      </c>
      <c r="H31" s="28"/>
    </row>
    <row r="32" spans="1:13" x14ac:dyDescent="0.35">
      <c r="A32" s="7">
        <v>46143</v>
      </c>
      <c r="B32" s="22">
        <v>328055</v>
      </c>
      <c r="C32" s="22">
        <v>1706982</v>
      </c>
      <c r="D32" s="22">
        <v>4575100043</v>
      </c>
      <c r="E32" s="8">
        <f t="shared" si="6"/>
        <v>5.2033409032022071</v>
      </c>
      <c r="F32" s="18">
        <f t="shared" si="7"/>
        <v>13946.13721174803</v>
      </c>
      <c r="G32" s="18">
        <f t="shared" ref="G32" si="11">IFERROR(F32/E32,"")</f>
        <v>2680.2274675421299</v>
      </c>
      <c r="H32" s="28"/>
    </row>
    <row r="33" spans="1:13" x14ac:dyDescent="0.35">
      <c r="A33" s="7">
        <v>46174</v>
      </c>
      <c r="B33" s="22">
        <v>332416</v>
      </c>
      <c r="C33" s="22">
        <v>1724713</v>
      </c>
      <c r="D33" s="22">
        <v>4638588551</v>
      </c>
      <c r="E33" s="8">
        <f t="shared" si="6"/>
        <v>5.1884175250288793</v>
      </c>
      <c r="F33" s="18">
        <f t="shared" si="7"/>
        <v>13954.1675220206</v>
      </c>
      <c r="G33" s="18">
        <f t="shared" ref="G33" si="12">IFERROR(F33/E33,"")</f>
        <v>2689.4843089835817</v>
      </c>
      <c r="H33" s="28"/>
    </row>
    <row r="34" spans="1:13" x14ac:dyDescent="0.35">
      <c r="A34" s="7">
        <v>46204</v>
      </c>
      <c r="B34" s="22">
        <v>333520</v>
      </c>
      <c r="C34" s="22">
        <v>1730338</v>
      </c>
      <c r="D34" s="22">
        <v>4674399111</v>
      </c>
      <c r="E34" s="8">
        <f t="shared" si="6"/>
        <v>5.1881086591508758</v>
      </c>
      <c r="F34" s="18">
        <f t="shared" si="7"/>
        <v>14015.348737706885</v>
      </c>
      <c r="G34" s="18">
        <f t="shared" ref="G34" si="13">IFERROR(F34/E34,"")</f>
        <v>2701.4370088387354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6EBA-07C1-4D18-AA8B-DBC57643BCC7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H36" sqref="H36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37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160119</v>
      </c>
      <c r="C4" s="21">
        <v>1034979</v>
      </c>
      <c r="D4" s="21">
        <v>2891260619.5100002</v>
      </c>
      <c r="E4" s="5">
        <f t="shared" ref="E4:E7" si="0">C4/B4</f>
        <v>6.4638112903528002</v>
      </c>
      <c r="F4" s="18">
        <f t="shared" ref="F4:F7" si="1">D4/B4</f>
        <v>18056.949016106773</v>
      </c>
      <c r="G4" s="18">
        <f t="shared" ref="G4:G9" si="2">F4/E4</f>
        <v>2793.5452018929855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159381</v>
      </c>
      <c r="C5" s="22">
        <v>1012688</v>
      </c>
      <c r="D5" s="22">
        <v>2801329950.5100021</v>
      </c>
      <c r="E5" s="8">
        <f t="shared" si="0"/>
        <v>6.3538815793601495</v>
      </c>
      <c r="F5" s="18">
        <f t="shared" si="1"/>
        <v>17576.310542097253</v>
      </c>
      <c r="G5" s="18">
        <f t="shared" si="2"/>
        <v>2766.2319989078596</v>
      </c>
      <c r="H5" s="28"/>
    </row>
    <row r="6" spans="1:13" x14ac:dyDescent="0.35">
      <c r="A6" s="7">
        <v>45352</v>
      </c>
      <c r="B6" s="22">
        <v>162306</v>
      </c>
      <c r="C6" s="22">
        <v>1044849</v>
      </c>
      <c r="D6" s="22">
        <v>2924275555.9600019</v>
      </c>
      <c r="E6" s="8">
        <f t="shared" si="0"/>
        <v>6.4375254149569328</v>
      </c>
      <c r="F6" s="18">
        <f t="shared" si="1"/>
        <v>18017.051470432405</v>
      </c>
      <c r="G6" s="18">
        <f t="shared" si="2"/>
        <v>2798.7542276060963</v>
      </c>
      <c r="H6" s="28"/>
    </row>
    <row r="7" spans="1:13" x14ac:dyDescent="0.35">
      <c r="A7" s="7">
        <v>45383</v>
      </c>
      <c r="B7" s="22">
        <v>162917</v>
      </c>
      <c r="C7" s="22">
        <v>1060920</v>
      </c>
      <c r="D7" s="22">
        <v>2998096670.2399993</v>
      </c>
      <c r="E7" s="8">
        <f t="shared" si="0"/>
        <v>6.5120275968744821</v>
      </c>
      <c r="F7" s="18">
        <f t="shared" si="1"/>
        <v>18402.601755740649</v>
      </c>
      <c r="G7" s="18">
        <f t="shared" si="2"/>
        <v>2825.9403821588803</v>
      </c>
      <c r="H7" s="28"/>
    </row>
    <row r="8" spans="1:13" x14ac:dyDescent="0.35">
      <c r="A8" s="7">
        <v>45413</v>
      </c>
      <c r="B8" s="22">
        <v>163098</v>
      </c>
      <c r="C8" s="22">
        <v>1086864</v>
      </c>
      <c r="D8" s="22">
        <v>3146895499.1199918</v>
      </c>
      <c r="E8" s="8">
        <f t="shared" ref="E8:E23" si="3">C8/B8</f>
        <v>6.6638708016039434</v>
      </c>
      <c r="F8" s="18">
        <f t="shared" ref="F8:F23" si="4">D8/B8</f>
        <v>19294.506978135796</v>
      </c>
      <c r="G8" s="18">
        <f t="shared" si="2"/>
        <v>2895.3903148139898</v>
      </c>
      <c r="H8" s="28"/>
    </row>
    <row r="9" spans="1:13" x14ac:dyDescent="0.35">
      <c r="A9" s="7">
        <v>45444</v>
      </c>
      <c r="B9" s="22">
        <v>163694</v>
      </c>
      <c r="C9" s="22">
        <v>1096529</v>
      </c>
      <c r="D9" s="22">
        <v>3197664524.8699999</v>
      </c>
      <c r="E9" s="8">
        <f t="shared" si="3"/>
        <v>6.698651141764512</v>
      </c>
      <c r="F9" s="18">
        <f t="shared" si="4"/>
        <v>19534.402756790107</v>
      </c>
      <c r="G9" s="18">
        <f t="shared" si="2"/>
        <v>2916.169590471387</v>
      </c>
      <c r="H9" s="28"/>
    </row>
    <row r="10" spans="1:13" x14ac:dyDescent="0.35">
      <c r="A10" s="7">
        <v>45474</v>
      </c>
      <c r="B10" s="22">
        <v>161931</v>
      </c>
      <c r="C10" s="22">
        <v>1089511</v>
      </c>
      <c r="D10" s="22">
        <v>3169190117.6799998</v>
      </c>
      <c r="E10" s="8">
        <f t="shared" si="3"/>
        <v>6.7282422760311489</v>
      </c>
      <c r="F10" s="18">
        <f t="shared" si="4"/>
        <v>19571.237858594093</v>
      </c>
      <c r="G10" s="18">
        <f t="shared" ref="G10:G21" si="5">F10/E10</f>
        <v>2908.8188349452189</v>
      </c>
      <c r="H10" s="28"/>
    </row>
    <row r="11" spans="1:13" x14ac:dyDescent="0.35">
      <c r="A11" s="7">
        <v>45505</v>
      </c>
      <c r="B11" s="22">
        <v>160803</v>
      </c>
      <c r="C11" s="22">
        <v>1069518</v>
      </c>
      <c r="D11" s="22">
        <v>3163703016.2299991</v>
      </c>
      <c r="E11" s="8">
        <f t="shared" si="3"/>
        <v>6.6511072554616515</v>
      </c>
      <c r="F11" s="18">
        <f t="shared" si="4"/>
        <v>19674.402941673969</v>
      </c>
      <c r="G11" s="18">
        <f t="shared" si="5"/>
        <v>2958.0643020781317</v>
      </c>
      <c r="H11" s="28"/>
    </row>
    <row r="12" spans="1:13" x14ac:dyDescent="0.35">
      <c r="A12" s="7">
        <v>45536</v>
      </c>
      <c r="B12" s="22">
        <v>161855</v>
      </c>
      <c r="C12" s="22">
        <v>1081378</v>
      </c>
      <c r="D12" s="22">
        <v>3208263312.0199986</v>
      </c>
      <c r="E12" s="8">
        <f t="shared" si="3"/>
        <v>6.6811528837539775</v>
      </c>
      <c r="F12" s="18">
        <f t="shared" si="4"/>
        <v>19821.836285687797</v>
      </c>
      <c r="G12" s="18">
        <f t="shared" si="5"/>
        <v>2966.8287241094217</v>
      </c>
      <c r="H12" s="28"/>
    </row>
    <row r="13" spans="1:13" x14ac:dyDescent="0.35">
      <c r="A13" s="7">
        <v>45566</v>
      </c>
      <c r="B13" s="22">
        <v>163798</v>
      </c>
      <c r="C13" s="22">
        <v>1127051</v>
      </c>
      <c r="D13" s="22">
        <v>3367779452.0500011</v>
      </c>
      <c r="E13" s="8">
        <f t="shared" si="3"/>
        <v>6.8807372495390666</v>
      </c>
      <c r="F13" s="18">
        <f t="shared" si="4"/>
        <v>20560.565159831018</v>
      </c>
      <c r="G13" s="18">
        <f t="shared" si="5"/>
        <v>2988.1340347952319</v>
      </c>
      <c r="H13" s="28"/>
    </row>
    <row r="14" spans="1:13" x14ac:dyDescent="0.35">
      <c r="A14" s="7">
        <v>45597</v>
      </c>
      <c r="B14" s="22">
        <v>163189</v>
      </c>
      <c r="C14" s="22">
        <v>1056033</v>
      </c>
      <c r="D14" s="22">
        <v>3118490816.8599997</v>
      </c>
      <c r="E14" s="8">
        <f t="shared" si="3"/>
        <v>6.4712266145389705</v>
      </c>
      <c r="F14" s="18">
        <f t="shared" si="4"/>
        <v>19109.687643529891</v>
      </c>
      <c r="G14" s="18">
        <f t="shared" si="5"/>
        <v>2953.0240218440135</v>
      </c>
      <c r="H14" s="28"/>
    </row>
    <row r="15" spans="1:13" ht="15" thickBot="1" x14ac:dyDescent="0.4">
      <c r="A15" s="9">
        <v>45627</v>
      </c>
      <c r="B15" s="23">
        <v>163719</v>
      </c>
      <c r="C15" s="23">
        <v>1065511</v>
      </c>
      <c r="D15" s="23">
        <v>3087003480.4000006</v>
      </c>
      <c r="E15" s="10">
        <f t="shared" si="3"/>
        <v>6.5081694855209227</v>
      </c>
      <c r="F15" s="20">
        <f t="shared" si="4"/>
        <v>18855.499241993908</v>
      </c>
      <c r="G15" s="20">
        <f t="shared" si="5"/>
        <v>2897.2047030955109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167507</v>
      </c>
      <c r="C16" s="21">
        <v>1083309</v>
      </c>
      <c r="D16" s="21">
        <v>3168949154.5200019</v>
      </c>
      <c r="E16" s="5">
        <f t="shared" si="3"/>
        <v>6.4672461449372269</v>
      </c>
      <c r="F16" s="18">
        <f t="shared" si="4"/>
        <v>18918.308814079424</v>
      </c>
      <c r="G16" s="18">
        <f t="shared" si="5"/>
        <v>2925.2495405466047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167931</v>
      </c>
      <c r="C17" s="22">
        <v>1107961</v>
      </c>
      <c r="D17" s="22">
        <v>3363923247.2100019</v>
      </c>
      <c r="E17" s="8">
        <f t="shared" si="3"/>
        <v>6.5977157284837222</v>
      </c>
      <c r="F17" s="18">
        <f t="shared" si="4"/>
        <v>20031.579918002048</v>
      </c>
      <c r="G17" s="18">
        <f t="shared" si="5"/>
        <v>3036.1386792585677</v>
      </c>
      <c r="H17" s="28"/>
    </row>
    <row r="18" spans="1:13" x14ac:dyDescent="0.35">
      <c r="A18" s="7">
        <v>45717</v>
      </c>
      <c r="B18" s="22">
        <v>172853</v>
      </c>
      <c r="C18" s="22">
        <v>1137921</v>
      </c>
      <c r="D18" s="22">
        <v>3475680830.4099984</v>
      </c>
      <c r="E18" s="8">
        <f t="shared" si="3"/>
        <v>6.5831718280851357</v>
      </c>
      <c r="F18" s="18">
        <f t="shared" si="4"/>
        <v>20107.726394161506</v>
      </c>
      <c r="G18" s="18">
        <f t="shared" si="5"/>
        <v>3054.4131186699242</v>
      </c>
      <c r="H18" s="28"/>
    </row>
    <row r="19" spans="1:13" x14ac:dyDescent="0.35">
      <c r="A19" s="7">
        <v>45748</v>
      </c>
      <c r="B19" s="22">
        <v>176984</v>
      </c>
      <c r="C19" s="22">
        <v>1164683</v>
      </c>
      <c r="D19" s="22">
        <v>3578520187</v>
      </c>
      <c r="E19" s="8">
        <f t="shared" si="3"/>
        <v>6.5807248112823755</v>
      </c>
      <c r="F19" s="18">
        <f t="shared" si="4"/>
        <v>20219.455922569272</v>
      </c>
      <c r="G19" s="18">
        <f t="shared" si="5"/>
        <v>3072.527191519066</v>
      </c>
      <c r="H19" s="28"/>
    </row>
    <row r="20" spans="1:13" x14ac:dyDescent="0.35">
      <c r="A20" s="7">
        <v>45778</v>
      </c>
      <c r="B20" s="22">
        <v>181352</v>
      </c>
      <c r="C20" s="22">
        <v>1189750</v>
      </c>
      <c r="D20" s="22">
        <v>3672128169</v>
      </c>
      <c r="E20" s="8">
        <f t="shared" si="3"/>
        <v>6.5604459835016984</v>
      </c>
      <c r="F20" s="18">
        <f t="shared" si="4"/>
        <v>20248.622397326744</v>
      </c>
      <c r="G20" s="18">
        <f t="shared" si="5"/>
        <v>3086.4704089094344</v>
      </c>
      <c r="H20" s="28"/>
    </row>
    <row r="21" spans="1:13" x14ac:dyDescent="0.35">
      <c r="A21" s="7">
        <v>45809</v>
      </c>
      <c r="B21" s="22">
        <v>183656</v>
      </c>
      <c r="C21" s="22">
        <v>1209864</v>
      </c>
      <c r="D21" s="22">
        <v>3691972461</v>
      </c>
      <c r="E21" s="8">
        <f t="shared" si="3"/>
        <v>6.5876638933658578</v>
      </c>
      <c r="F21" s="18">
        <f t="shared" si="4"/>
        <v>20102.650939800496</v>
      </c>
      <c r="G21" s="18">
        <f t="shared" si="5"/>
        <v>3051.5598951617703</v>
      </c>
      <c r="H21" s="28"/>
    </row>
    <row r="22" spans="1:13" x14ac:dyDescent="0.35">
      <c r="A22" s="7">
        <v>45839</v>
      </c>
      <c r="B22" s="22">
        <v>187204</v>
      </c>
      <c r="C22" s="22">
        <v>1228180</v>
      </c>
      <c r="D22" s="22">
        <v>3795734175</v>
      </c>
      <c r="E22" s="8">
        <f t="shared" si="3"/>
        <v>6.5606504134527039</v>
      </c>
      <c r="F22" s="18">
        <f t="shared" si="4"/>
        <v>20275.924526185339</v>
      </c>
      <c r="G22" s="18">
        <f>F22/E22</f>
        <v>3090.5357317331336</v>
      </c>
      <c r="H22" s="28"/>
    </row>
    <row r="23" spans="1:13" x14ac:dyDescent="0.35">
      <c r="A23" s="7">
        <v>45870</v>
      </c>
      <c r="B23" s="22">
        <v>191488</v>
      </c>
      <c r="C23" s="22">
        <v>1254901</v>
      </c>
      <c r="D23" s="22">
        <v>3902053035</v>
      </c>
      <c r="E23" s="8">
        <f t="shared" si="3"/>
        <v>6.5534184909759361</v>
      </c>
      <c r="F23" s="18">
        <f t="shared" si="4"/>
        <v>20377.532978567848</v>
      </c>
      <c r="G23" s="18">
        <f>F23/E23</f>
        <v>3109.4508929389649</v>
      </c>
    </row>
    <row r="24" spans="1:13" x14ac:dyDescent="0.35">
      <c r="A24" s="7">
        <v>45901</v>
      </c>
      <c r="B24" s="22">
        <v>198211</v>
      </c>
      <c r="C24" s="22">
        <v>1274358</v>
      </c>
      <c r="D24" s="22">
        <v>3957600165</v>
      </c>
      <c r="E24" s="8">
        <f t="shared" ref="E24:E34" si="6">IFERROR(C24/B24,"")</f>
        <v>6.4293000892987777</v>
      </c>
      <c r="F24" s="18">
        <f t="shared" ref="F24:F34" si="7">IFERROR(D24/B24,"")</f>
        <v>19966.602080611065</v>
      </c>
      <c r="G24" s="18">
        <f t="shared" ref="G24:G29" si="8">IFERROR(F24/E24,"")</f>
        <v>3105.5638721615114</v>
      </c>
    </row>
    <row r="25" spans="1:13" x14ac:dyDescent="0.35">
      <c r="A25" s="7">
        <v>45931</v>
      </c>
      <c r="B25" s="22">
        <v>204815</v>
      </c>
      <c r="C25" s="22">
        <v>1291230</v>
      </c>
      <c r="D25" s="22">
        <v>4011148401</v>
      </c>
      <c r="E25" s="8">
        <f t="shared" si="6"/>
        <v>6.3043722383614478</v>
      </c>
      <c r="F25" s="18">
        <f t="shared" si="7"/>
        <v>19584.251158362425</v>
      </c>
      <c r="G25" s="18">
        <f t="shared" si="8"/>
        <v>3106.4553960177509</v>
      </c>
    </row>
    <row r="26" spans="1:13" x14ac:dyDescent="0.35">
      <c r="A26" s="7">
        <v>45962</v>
      </c>
      <c r="B26" s="22">
        <v>209126</v>
      </c>
      <c r="C26" s="22">
        <v>1302431</v>
      </c>
      <c r="D26" s="22">
        <v>4174605889</v>
      </c>
      <c r="E26" s="8">
        <f t="shared" si="6"/>
        <v>6.227972609814179</v>
      </c>
      <c r="F26" s="18">
        <f t="shared" si="7"/>
        <v>19962.15625508067</v>
      </c>
      <c r="G26" s="18">
        <f t="shared" si="8"/>
        <v>3205.2414976302011</v>
      </c>
    </row>
    <row r="27" spans="1:13" ht="15" thickBot="1" x14ac:dyDescent="0.4">
      <c r="A27" s="9">
        <v>45992</v>
      </c>
      <c r="B27" s="23">
        <v>212270</v>
      </c>
      <c r="C27" s="23">
        <v>1316129</v>
      </c>
      <c r="D27" s="23">
        <v>4203182313</v>
      </c>
      <c r="E27" s="10">
        <f t="shared" si="6"/>
        <v>6.2002591039713568</v>
      </c>
      <c r="F27" s="20">
        <f t="shared" si="7"/>
        <v>19801.113266123335</v>
      </c>
      <c r="G27" s="20">
        <f t="shared" si="8"/>
        <v>3193.5944827596691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184599</v>
      </c>
      <c r="C28" s="21">
        <v>927227</v>
      </c>
      <c r="D28" s="21">
        <v>2767911416</v>
      </c>
      <c r="E28" s="5">
        <f t="shared" si="6"/>
        <v>5.0229253679597399</v>
      </c>
      <c r="F28" s="18">
        <f t="shared" si="7"/>
        <v>14994.184237184383</v>
      </c>
      <c r="G28" s="18">
        <f t="shared" si="8"/>
        <v>2985.1497163046374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185396</v>
      </c>
      <c r="C29" s="22">
        <v>927400</v>
      </c>
      <c r="D29" s="22">
        <v>2753678383</v>
      </c>
      <c r="E29" s="8">
        <f t="shared" si="6"/>
        <v>5.0022654210446831</v>
      </c>
      <c r="F29" s="18">
        <f t="shared" si="7"/>
        <v>14852.954664609808</v>
      </c>
      <c r="G29" s="18">
        <f t="shared" si="8"/>
        <v>2969.2456146215222</v>
      </c>
      <c r="H29" s="28"/>
    </row>
    <row r="30" spans="1:13" x14ac:dyDescent="0.35">
      <c r="A30" s="7">
        <v>46082</v>
      </c>
      <c r="B30" s="22">
        <v>188390</v>
      </c>
      <c r="C30" s="22">
        <v>954816</v>
      </c>
      <c r="D30" s="22">
        <v>2866084785</v>
      </c>
      <c r="E30" s="8">
        <f t="shared" si="6"/>
        <v>5.0682944954615428</v>
      </c>
      <c r="F30" s="18">
        <f t="shared" si="7"/>
        <v>15213.571766017305</v>
      </c>
      <c r="G30" s="18">
        <f t="shared" ref="G30" si="9">IFERROR(F30/E30,"")</f>
        <v>3001.7142412779008</v>
      </c>
      <c r="H30" s="28"/>
    </row>
    <row r="31" spans="1:13" x14ac:dyDescent="0.35">
      <c r="A31" s="7">
        <v>46113</v>
      </c>
      <c r="B31" s="22">
        <v>190849</v>
      </c>
      <c r="C31" s="22">
        <v>974637</v>
      </c>
      <c r="D31" s="22">
        <v>2948695567</v>
      </c>
      <c r="E31" s="8">
        <f t="shared" si="6"/>
        <v>5.1068488700490962</v>
      </c>
      <c r="F31" s="18">
        <f t="shared" si="7"/>
        <v>15450.411409019696</v>
      </c>
      <c r="G31" s="18">
        <f t="shared" ref="G31" si="10">IFERROR(F31/E31,"")</f>
        <v>3025.4295363299361</v>
      </c>
      <c r="H31" s="28"/>
    </row>
    <row r="32" spans="1:13" x14ac:dyDescent="0.35">
      <c r="A32" s="7">
        <v>46143</v>
      </c>
      <c r="B32" s="22">
        <v>191840</v>
      </c>
      <c r="C32" s="22">
        <v>997709</v>
      </c>
      <c r="D32" s="22">
        <v>3096629717</v>
      </c>
      <c r="E32" s="8">
        <f t="shared" si="6"/>
        <v>5.2007349874895743</v>
      </c>
      <c r="F32" s="18">
        <f t="shared" si="7"/>
        <v>16141.731218723937</v>
      </c>
      <c r="G32" s="18">
        <f t="shared" ref="G32" si="11">IFERROR(F32/E32,"")</f>
        <v>3103.7403862248411</v>
      </c>
      <c r="H32" s="28"/>
    </row>
    <row r="33" spans="1:13" x14ac:dyDescent="0.35">
      <c r="A33" s="7">
        <v>46174</v>
      </c>
      <c r="B33" s="22">
        <v>193396</v>
      </c>
      <c r="C33" s="22">
        <v>1005754</v>
      </c>
      <c r="D33" s="22">
        <v>3128115534</v>
      </c>
      <c r="E33" s="8">
        <f t="shared" si="6"/>
        <v>5.2004901859397297</v>
      </c>
      <c r="F33" s="18">
        <f t="shared" si="7"/>
        <v>16174.66511199818</v>
      </c>
      <c r="G33" s="18">
        <f t="shared" ref="G33" si="12">IFERROR(F33/E33,"")</f>
        <v>3110.21933196388</v>
      </c>
      <c r="H33" s="28"/>
    </row>
    <row r="34" spans="1:13" x14ac:dyDescent="0.35">
      <c r="A34" s="7">
        <v>46204</v>
      </c>
      <c r="B34" s="22">
        <v>193822</v>
      </c>
      <c r="C34" s="22">
        <v>1002804</v>
      </c>
      <c r="D34" s="22">
        <v>3056996659</v>
      </c>
      <c r="E34" s="8">
        <f t="shared" si="6"/>
        <v>5.1738399149735326</v>
      </c>
      <c r="F34" s="18">
        <f t="shared" si="7"/>
        <v>15772.186124382166</v>
      </c>
      <c r="G34" s="18">
        <f t="shared" ref="G34" si="13">IFERROR(F34/E34,"")</f>
        <v>3048.4488085408516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72AA-00B8-4227-8207-4A1F8BB357EF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I36" sqref="I36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36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129614</v>
      </c>
      <c r="C4" s="21">
        <v>1131883</v>
      </c>
      <c r="D4" s="21">
        <v>3410519628.2400007</v>
      </c>
      <c r="E4" s="5">
        <f t="shared" ref="E4:E7" si="0">C4/B4</f>
        <v>8.7327217738824512</v>
      </c>
      <c r="F4" s="18">
        <f t="shared" ref="F4:F7" si="1">D4/B4</f>
        <v>26312.895429814685</v>
      </c>
      <c r="G4" s="18">
        <f t="shared" ref="G4:G9" si="2">F4/E4</f>
        <v>3013.1379552833646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130240</v>
      </c>
      <c r="C5" s="22">
        <v>1135664</v>
      </c>
      <c r="D5" s="22">
        <v>3442035191.7400022</v>
      </c>
      <c r="E5" s="8">
        <f t="shared" si="0"/>
        <v>8.7197788697788692</v>
      </c>
      <c r="F5" s="18">
        <f t="shared" si="1"/>
        <v>26428.402884981588</v>
      </c>
      <c r="G5" s="18">
        <f t="shared" si="2"/>
        <v>3030.8570067731321</v>
      </c>
      <c r="H5" s="28"/>
    </row>
    <row r="6" spans="1:13" x14ac:dyDescent="0.35">
      <c r="A6" s="7">
        <v>45352</v>
      </c>
      <c r="B6" s="22">
        <v>134514</v>
      </c>
      <c r="C6" s="22">
        <v>1152520</v>
      </c>
      <c r="D6" s="22">
        <v>3503602387.1600051</v>
      </c>
      <c r="E6" s="8">
        <f t="shared" si="0"/>
        <v>8.5680300935218643</v>
      </c>
      <c r="F6" s="18">
        <f t="shared" si="1"/>
        <v>26046.377233299176</v>
      </c>
      <c r="G6" s="18">
        <f t="shared" si="2"/>
        <v>3039.9493172873399</v>
      </c>
      <c r="H6" s="28"/>
    </row>
    <row r="7" spans="1:13" x14ac:dyDescent="0.35">
      <c r="A7" s="7">
        <v>45383</v>
      </c>
      <c r="B7" s="22">
        <v>137463</v>
      </c>
      <c r="C7" s="22">
        <v>1187640</v>
      </c>
      <c r="D7" s="22">
        <v>3698296211.6100059</v>
      </c>
      <c r="E7" s="8">
        <f t="shared" si="0"/>
        <v>8.6397066847078854</v>
      </c>
      <c r="F7" s="18">
        <f t="shared" si="1"/>
        <v>26903.939326291482</v>
      </c>
      <c r="G7" s="18">
        <f t="shared" si="2"/>
        <v>3113.9875817672073</v>
      </c>
      <c r="H7" s="28"/>
    </row>
    <row r="8" spans="1:13" x14ac:dyDescent="0.35">
      <c r="A8" s="7">
        <v>45413</v>
      </c>
      <c r="B8" s="22">
        <v>141655</v>
      </c>
      <c r="C8" s="22">
        <v>1231844</v>
      </c>
      <c r="D8" s="22">
        <v>3914954043.5800614</v>
      </c>
      <c r="E8" s="8">
        <f t="shared" ref="E8:E23" si="3">C8/B8</f>
        <v>8.6960855599872939</v>
      </c>
      <c r="F8" s="18">
        <f t="shared" ref="F8:F23" si="4">D8/B8</f>
        <v>27637.245727860376</v>
      </c>
      <c r="G8" s="18">
        <f t="shared" si="2"/>
        <v>3178.1248628722965</v>
      </c>
      <c r="H8" s="28"/>
    </row>
    <row r="9" spans="1:13" x14ac:dyDescent="0.35">
      <c r="A9" s="7">
        <v>45444</v>
      </c>
      <c r="B9" s="22">
        <v>143504</v>
      </c>
      <c r="C9" s="22">
        <v>1259496</v>
      </c>
      <c r="D9" s="22">
        <v>4039073489.27</v>
      </c>
      <c r="E9" s="8">
        <f t="shared" si="3"/>
        <v>8.7767309622031444</v>
      </c>
      <c r="F9" s="18">
        <f t="shared" si="4"/>
        <v>28146.069024347755</v>
      </c>
      <c r="G9" s="18">
        <f t="shared" si="2"/>
        <v>3206.8966390286273</v>
      </c>
      <c r="H9" s="28"/>
    </row>
    <row r="10" spans="1:13" x14ac:dyDescent="0.35">
      <c r="A10" s="7">
        <v>45474</v>
      </c>
      <c r="B10" s="22">
        <v>144923</v>
      </c>
      <c r="C10" s="22">
        <v>1275083</v>
      </c>
      <c r="D10" s="22">
        <v>4024676820.9699998</v>
      </c>
      <c r="E10" s="8">
        <f t="shared" si="3"/>
        <v>8.7983480882951639</v>
      </c>
      <c r="F10" s="18">
        <f t="shared" si="4"/>
        <v>27771.139301353131</v>
      </c>
      <c r="G10" s="18">
        <f t="shared" ref="G10:G21" si="5">F10/E10</f>
        <v>3156.4037956509496</v>
      </c>
      <c r="H10" s="28"/>
    </row>
    <row r="11" spans="1:13" x14ac:dyDescent="0.35">
      <c r="A11" s="7">
        <v>45505</v>
      </c>
      <c r="B11" s="22">
        <v>146104</v>
      </c>
      <c r="C11" s="22">
        <v>1292804</v>
      </c>
      <c r="D11" s="22">
        <v>4107678428.9300017</v>
      </c>
      <c r="E11" s="8">
        <f t="shared" si="3"/>
        <v>8.8485188632754745</v>
      </c>
      <c r="F11" s="18">
        <f t="shared" si="4"/>
        <v>28114.756809738279</v>
      </c>
      <c r="G11" s="18">
        <f t="shared" si="5"/>
        <v>3177.3404390224673</v>
      </c>
      <c r="H11" s="28"/>
    </row>
    <row r="12" spans="1:13" x14ac:dyDescent="0.35">
      <c r="A12" s="7">
        <v>45536</v>
      </c>
      <c r="B12" s="22">
        <v>147901</v>
      </c>
      <c r="C12" s="22">
        <v>1310188</v>
      </c>
      <c r="D12" s="22">
        <v>4173040862.0500059</v>
      </c>
      <c r="E12" s="8">
        <f t="shared" si="3"/>
        <v>8.8585472714856568</v>
      </c>
      <c r="F12" s="18">
        <f t="shared" si="4"/>
        <v>28215.095652159256</v>
      </c>
      <c r="G12" s="18">
        <f t="shared" si="5"/>
        <v>3185.070281555018</v>
      </c>
      <c r="H12" s="28"/>
    </row>
    <row r="13" spans="1:13" x14ac:dyDescent="0.35">
      <c r="A13" s="7">
        <v>45566</v>
      </c>
      <c r="B13" s="22">
        <v>151305</v>
      </c>
      <c r="C13" s="22">
        <v>1354606</v>
      </c>
      <c r="D13" s="22">
        <v>4324693284.2600031</v>
      </c>
      <c r="E13" s="8">
        <f t="shared" si="3"/>
        <v>8.9528171573973108</v>
      </c>
      <c r="F13" s="18">
        <f t="shared" si="4"/>
        <v>28582.619769736644</v>
      </c>
      <c r="G13" s="18">
        <f t="shared" si="5"/>
        <v>3192.5838836237272</v>
      </c>
      <c r="H13" s="28"/>
    </row>
    <row r="14" spans="1:13" x14ac:dyDescent="0.35">
      <c r="A14" s="7">
        <v>45597</v>
      </c>
      <c r="B14" s="22">
        <v>152125</v>
      </c>
      <c r="C14" s="22">
        <v>1355438</v>
      </c>
      <c r="D14" s="22">
        <v>4359612721.3700018</v>
      </c>
      <c r="E14" s="8">
        <f t="shared" si="3"/>
        <v>8.9100279375513551</v>
      </c>
      <c r="F14" s="18">
        <f t="shared" si="4"/>
        <v>28658.095128151203</v>
      </c>
      <c r="G14" s="18">
        <f t="shared" si="5"/>
        <v>3216.3866745435807</v>
      </c>
      <c r="H14" s="28"/>
    </row>
    <row r="15" spans="1:13" ht="15" thickBot="1" x14ac:dyDescent="0.4">
      <c r="A15" s="9">
        <v>45627</v>
      </c>
      <c r="B15" s="23">
        <v>151227</v>
      </c>
      <c r="C15" s="23">
        <v>1354429</v>
      </c>
      <c r="D15" s="23">
        <v>4243132220.4500046</v>
      </c>
      <c r="E15" s="10">
        <f t="shared" si="3"/>
        <v>8.9562644236809561</v>
      </c>
      <c r="F15" s="20">
        <f t="shared" si="4"/>
        <v>28058.033422933764</v>
      </c>
      <c r="G15" s="20">
        <f t="shared" si="5"/>
        <v>3132.7830550364802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154791</v>
      </c>
      <c r="C16" s="21">
        <v>1373891</v>
      </c>
      <c r="D16" s="21">
        <v>4344841076.7699976</v>
      </c>
      <c r="E16" s="5">
        <f t="shared" si="3"/>
        <v>8.8757808916539069</v>
      </c>
      <c r="F16" s="18">
        <f t="shared" si="4"/>
        <v>28069.080739642472</v>
      </c>
      <c r="G16" s="18">
        <f t="shared" si="5"/>
        <v>3162.4350670977524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158851</v>
      </c>
      <c r="C17" s="22">
        <v>1425483</v>
      </c>
      <c r="D17" s="22">
        <v>4571815596.1499929</v>
      </c>
      <c r="E17" s="8">
        <f t="shared" si="3"/>
        <v>8.9737112136530452</v>
      </c>
      <c r="F17" s="18">
        <f t="shared" si="4"/>
        <v>28780.527640052584</v>
      </c>
      <c r="G17" s="18">
        <f t="shared" si="5"/>
        <v>3207.2045728710855</v>
      </c>
      <c r="H17" s="28"/>
    </row>
    <row r="18" spans="1:13" x14ac:dyDescent="0.35">
      <c r="A18" s="7">
        <v>45717</v>
      </c>
      <c r="B18" s="22">
        <v>162967</v>
      </c>
      <c r="C18" s="22">
        <v>1461230</v>
      </c>
      <c r="D18" s="22">
        <v>4710543442.1299934</v>
      </c>
      <c r="E18" s="8">
        <f t="shared" si="3"/>
        <v>8.9664165137727263</v>
      </c>
      <c r="F18" s="18">
        <f t="shared" si="4"/>
        <v>28904.891432805376</v>
      </c>
      <c r="G18" s="18">
        <f t="shared" si="5"/>
        <v>3223.6837747171862</v>
      </c>
      <c r="H18" s="28"/>
    </row>
    <row r="19" spans="1:13" x14ac:dyDescent="0.35">
      <c r="A19" s="7">
        <v>45748</v>
      </c>
      <c r="B19" s="22">
        <v>168254</v>
      </c>
      <c r="C19" s="22">
        <v>1504826</v>
      </c>
      <c r="D19" s="22">
        <v>4882303865</v>
      </c>
      <c r="E19" s="8">
        <f t="shared" si="3"/>
        <v>8.9437754823065134</v>
      </c>
      <c r="F19" s="18">
        <f t="shared" si="4"/>
        <v>29017.460892460211</v>
      </c>
      <c r="G19" s="18">
        <f t="shared" si="5"/>
        <v>3244.4308278830908</v>
      </c>
      <c r="H19" s="28"/>
    </row>
    <row r="20" spans="1:13" x14ac:dyDescent="0.35">
      <c r="A20" s="7">
        <v>45778</v>
      </c>
      <c r="B20" s="22">
        <v>172747</v>
      </c>
      <c r="C20" s="22">
        <v>1536539</v>
      </c>
      <c r="D20" s="22">
        <v>5034859735</v>
      </c>
      <c r="E20" s="8">
        <f t="shared" si="3"/>
        <v>8.8947362327565749</v>
      </c>
      <c r="F20" s="18">
        <f t="shared" si="4"/>
        <v>29145.859175557318</v>
      </c>
      <c r="G20" s="18">
        <f t="shared" si="5"/>
        <v>3276.7536229148755</v>
      </c>
      <c r="H20" s="28"/>
    </row>
    <row r="21" spans="1:13" x14ac:dyDescent="0.35">
      <c r="A21" s="7">
        <v>45809</v>
      </c>
      <c r="B21" s="22">
        <v>175717</v>
      </c>
      <c r="C21" s="22">
        <v>1571815</v>
      </c>
      <c r="D21" s="22">
        <v>5177818254</v>
      </c>
      <c r="E21" s="8">
        <f t="shared" si="3"/>
        <v>8.9451504407655484</v>
      </c>
      <c r="F21" s="18">
        <f t="shared" si="4"/>
        <v>29466.80317783709</v>
      </c>
      <c r="G21" s="18">
        <f t="shared" si="5"/>
        <v>3294.1651873789219</v>
      </c>
      <c r="H21" s="28"/>
    </row>
    <row r="22" spans="1:13" x14ac:dyDescent="0.35">
      <c r="A22" s="7">
        <v>45839</v>
      </c>
      <c r="B22" s="22">
        <v>180895</v>
      </c>
      <c r="C22" s="22">
        <v>1616992</v>
      </c>
      <c r="D22" s="22">
        <v>5363663338</v>
      </c>
      <c r="E22" s="8">
        <f t="shared" si="3"/>
        <v>8.9388429752066116</v>
      </c>
      <c r="F22" s="18">
        <f t="shared" si="4"/>
        <v>29650.699787169353</v>
      </c>
      <c r="G22" s="18">
        <f>F22/E22</f>
        <v>3317.0623837347371</v>
      </c>
      <c r="H22" s="28"/>
    </row>
    <row r="23" spans="1:13" x14ac:dyDescent="0.35">
      <c r="A23" s="7">
        <v>45870</v>
      </c>
      <c r="B23" s="22">
        <v>183940</v>
      </c>
      <c r="C23" s="22">
        <v>1645573</v>
      </c>
      <c r="D23" s="22">
        <v>5497823925</v>
      </c>
      <c r="E23" s="8">
        <f t="shared" si="3"/>
        <v>8.946248776775036</v>
      </c>
      <c r="F23" s="18">
        <f t="shared" si="4"/>
        <v>29889.22433945852</v>
      </c>
      <c r="G23" s="18">
        <f>F23/E23</f>
        <v>3340.9784464134982</v>
      </c>
    </row>
    <row r="24" spans="1:13" x14ac:dyDescent="0.35">
      <c r="A24" s="7">
        <v>45901</v>
      </c>
      <c r="B24" s="22">
        <v>190160</v>
      </c>
      <c r="C24" s="22">
        <v>1676749</v>
      </c>
      <c r="D24" s="22">
        <v>5549402165</v>
      </c>
      <c r="E24" s="8">
        <f t="shared" ref="E24:E34" si="6">IFERROR(C24/B24,"")</f>
        <v>8.8175694152292809</v>
      </c>
      <c r="F24" s="18">
        <f t="shared" ref="F24:F34" si="7">IFERROR(D24/B24,"")</f>
        <v>29182.804822254944</v>
      </c>
      <c r="G24" s="18">
        <f t="shared" ref="G24:G29" si="8">IFERROR(F24/E24,"")</f>
        <v>3309.6200832682771</v>
      </c>
    </row>
    <row r="25" spans="1:13" x14ac:dyDescent="0.35">
      <c r="A25" s="7">
        <v>45931</v>
      </c>
      <c r="B25" s="22">
        <v>197750</v>
      </c>
      <c r="C25" s="22">
        <v>1697340</v>
      </c>
      <c r="D25" s="22">
        <v>5618328703</v>
      </c>
      <c r="E25" s="8">
        <f t="shared" si="6"/>
        <v>8.5832616940581534</v>
      </c>
      <c r="F25" s="18">
        <f t="shared" si="7"/>
        <v>28411.270305941845</v>
      </c>
      <c r="G25" s="18">
        <f t="shared" si="8"/>
        <v>3310.0785364158037</v>
      </c>
    </row>
    <row r="26" spans="1:13" x14ac:dyDescent="0.35">
      <c r="A26" s="7">
        <v>45962</v>
      </c>
      <c r="B26" s="22">
        <v>203002</v>
      </c>
      <c r="C26" s="22">
        <v>1723057</v>
      </c>
      <c r="D26" s="22">
        <v>5796345939</v>
      </c>
      <c r="E26" s="8">
        <f t="shared" si="6"/>
        <v>8.4878818927892343</v>
      </c>
      <c r="F26" s="18">
        <f t="shared" si="7"/>
        <v>28553.146959143261</v>
      </c>
      <c r="G26" s="18">
        <f t="shared" si="8"/>
        <v>3363.9896643001362</v>
      </c>
    </row>
    <row r="27" spans="1:13" ht="15" thickBot="1" x14ac:dyDescent="0.4">
      <c r="A27" s="9">
        <v>45992</v>
      </c>
      <c r="B27" s="23">
        <v>205907</v>
      </c>
      <c r="C27" s="23">
        <v>1747355</v>
      </c>
      <c r="D27" s="23">
        <v>5841747014</v>
      </c>
      <c r="E27" s="10">
        <f t="shared" si="6"/>
        <v>8.4861369453199753</v>
      </c>
      <c r="F27" s="20">
        <f t="shared" si="7"/>
        <v>28370.803391822523</v>
      </c>
      <c r="G27" s="20">
        <f t="shared" si="8"/>
        <v>3343.1941500153089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216504</v>
      </c>
      <c r="C28" s="21">
        <v>1747837</v>
      </c>
      <c r="D28" s="21">
        <v>5879045935</v>
      </c>
      <c r="E28" s="5">
        <f t="shared" si="6"/>
        <v>8.0730009607212807</v>
      </c>
      <c r="F28" s="18">
        <f t="shared" si="7"/>
        <v>27154.444883235414</v>
      </c>
      <c r="G28" s="18">
        <f t="shared" si="8"/>
        <v>3363.6122447344915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218063</v>
      </c>
      <c r="C29" s="22">
        <v>1747451</v>
      </c>
      <c r="D29" s="22">
        <v>5898851034</v>
      </c>
      <c r="E29" s="8">
        <f t="shared" si="6"/>
        <v>8.0135144430737899</v>
      </c>
      <c r="F29" s="18">
        <f t="shared" si="7"/>
        <v>27051.132168226613</v>
      </c>
      <c r="G29" s="18">
        <f t="shared" si="8"/>
        <v>3375.6889515070811</v>
      </c>
      <c r="H29" s="28"/>
    </row>
    <row r="30" spans="1:13" x14ac:dyDescent="0.35">
      <c r="A30" s="7">
        <v>46082</v>
      </c>
      <c r="B30" s="22">
        <v>219446</v>
      </c>
      <c r="C30" s="22">
        <v>1782989</v>
      </c>
      <c r="D30" s="22">
        <v>6165791639</v>
      </c>
      <c r="E30" s="8">
        <f t="shared" si="6"/>
        <v>8.1249555699352012</v>
      </c>
      <c r="F30" s="18">
        <f t="shared" si="7"/>
        <v>28097.079185767798</v>
      </c>
      <c r="G30" s="18">
        <f t="shared" ref="G30" si="9">IFERROR(F30/E30,"")</f>
        <v>3458.1209637300058</v>
      </c>
      <c r="H30" s="28"/>
    </row>
    <row r="31" spans="1:13" x14ac:dyDescent="0.35">
      <c r="A31" s="7">
        <v>46113</v>
      </c>
      <c r="B31" s="22">
        <v>220881</v>
      </c>
      <c r="C31" s="22">
        <v>1812485</v>
      </c>
      <c r="D31" s="22">
        <v>6337072212</v>
      </c>
      <c r="E31" s="8">
        <f t="shared" si="6"/>
        <v>8.2057080509414568</v>
      </c>
      <c r="F31" s="18">
        <f t="shared" si="7"/>
        <v>28689.983348499871</v>
      </c>
      <c r="G31" s="18">
        <f t="shared" ref="G31" si="10">IFERROR(F31/E31,"")</f>
        <v>3496.3446384383874</v>
      </c>
      <c r="H31" s="28"/>
    </row>
    <row r="32" spans="1:13" x14ac:dyDescent="0.35">
      <c r="A32" s="7">
        <v>46143</v>
      </c>
      <c r="B32" s="22">
        <v>222865</v>
      </c>
      <c r="C32" s="22">
        <v>1863314</v>
      </c>
      <c r="D32" s="22">
        <v>6613250908</v>
      </c>
      <c r="E32" s="8">
        <f t="shared" si="6"/>
        <v>8.3607295896619025</v>
      </c>
      <c r="F32" s="18">
        <f t="shared" si="7"/>
        <v>29673.797626365737</v>
      </c>
      <c r="G32" s="18">
        <f t="shared" ref="G32" si="11">IFERROR(F32/E32,"")</f>
        <v>3549.1875808371537</v>
      </c>
      <c r="H32" s="28"/>
    </row>
    <row r="33" spans="1:13" x14ac:dyDescent="0.35">
      <c r="A33" s="7">
        <v>46174</v>
      </c>
      <c r="B33" s="22">
        <v>225060</v>
      </c>
      <c r="C33" s="22">
        <v>1881269</v>
      </c>
      <c r="D33" s="22">
        <v>6670459935</v>
      </c>
      <c r="E33" s="8">
        <f t="shared" si="6"/>
        <v>8.3589664978228022</v>
      </c>
      <c r="F33" s="18">
        <f t="shared" si="7"/>
        <v>29638.584977339375</v>
      </c>
      <c r="G33" s="18">
        <f t="shared" ref="G33" si="12">IFERROR(F33/E33,"")</f>
        <v>3545.7236232564296</v>
      </c>
      <c r="H33" s="28"/>
    </row>
    <row r="34" spans="1:13" x14ac:dyDescent="0.35">
      <c r="A34" s="7">
        <v>46204</v>
      </c>
      <c r="B34" s="22">
        <v>226296</v>
      </c>
      <c r="C34" s="22">
        <v>1897904</v>
      </c>
      <c r="D34" s="22">
        <v>6773232132</v>
      </c>
      <c r="E34" s="8">
        <f t="shared" si="6"/>
        <v>8.3868208010746983</v>
      </c>
      <c r="F34" s="18">
        <f t="shared" si="7"/>
        <v>29930.852211263125</v>
      </c>
      <c r="G34" s="18">
        <f t="shared" ref="G34" si="13">IFERROR(F34/E34,"")</f>
        <v>3568.7959622826024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6378-12F4-44B7-BD04-18D8BE34E2B5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I36" sqref="I36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38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120912</v>
      </c>
      <c r="C4" s="21">
        <v>695063</v>
      </c>
      <c r="D4" s="21">
        <v>1644865977.4499996</v>
      </c>
      <c r="E4" s="5">
        <f t="shared" ref="E4:E7" si="0">C4/B4</f>
        <v>5.7485030435357949</v>
      </c>
      <c r="F4" s="18">
        <f t="shared" ref="F4:F7" si="1">D4/B4</f>
        <v>13603.827390581577</v>
      </c>
      <c r="G4" s="18">
        <f t="shared" ref="G4:G9" si="2">F4/E4</f>
        <v>2366.4991194323384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122476</v>
      </c>
      <c r="C5" s="22">
        <v>701152</v>
      </c>
      <c r="D5" s="22">
        <v>1675545378.5500004</v>
      </c>
      <c r="E5" s="8">
        <f t="shared" si="0"/>
        <v>5.7248113916195829</v>
      </c>
      <c r="F5" s="18">
        <f t="shared" si="1"/>
        <v>13680.601738707996</v>
      </c>
      <c r="G5" s="18">
        <f t="shared" si="2"/>
        <v>2389.7034859060523</v>
      </c>
      <c r="H5" s="28"/>
    </row>
    <row r="6" spans="1:13" x14ac:dyDescent="0.35">
      <c r="A6" s="7">
        <v>45352</v>
      </c>
      <c r="B6" s="22">
        <v>123835</v>
      </c>
      <c r="C6" s="22">
        <v>714875</v>
      </c>
      <c r="D6" s="22">
        <v>1727553384.3400002</v>
      </c>
      <c r="E6" s="8">
        <f t="shared" si="0"/>
        <v>5.7728025194815684</v>
      </c>
      <c r="F6" s="18">
        <f t="shared" si="1"/>
        <v>13950.445224209636</v>
      </c>
      <c r="G6" s="18">
        <f t="shared" si="2"/>
        <v>2416.5810587025708</v>
      </c>
      <c r="H6" s="28"/>
    </row>
    <row r="7" spans="1:13" x14ac:dyDescent="0.35">
      <c r="A7" s="7">
        <v>45383</v>
      </c>
      <c r="B7" s="22">
        <v>127293</v>
      </c>
      <c r="C7" s="22">
        <v>749056</v>
      </c>
      <c r="D7" s="22">
        <v>1788189453.9599996</v>
      </c>
      <c r="E7" s="8">
        <f t="shared" si="0"/>
        <v>5.8845026827869562</v>
      </c>
      <c r="F7" s="18">
        <f t="shared" si="1"/>
        <v>14047.822377978362</v>
      </c>
      <c r="G7" s="18">
        <f t="shared" si="2"/>
        <v>2387.2573665520331</v>
      </c>
      <c r="H7" s="28"/>
    </row>
    <row r="8" spans="1:13" x14ac:dyDescent="0.35">
      <c r="A8" s="7">
        <v>45413</v>
      </c>
      <c r="B8" s="22">
        <v>126009</v>
      </c>
      <c r="C8" s="22">
        <v>745783</v>
      </c>
      <c r="D8" s="22">
        <v>1813935032.3299994</v>
      </c>
      <c r="E8" s="8">
        <f t="shared" ref="E8:E23" si="3">C8/B8</f>
        <v>5.9184899491306178</v>
      </c>
      <c r="F8" s="18">
        <f t="shared" ref="F8:F23" si="4">D8/B8</f>
        <v>14395.281546000679</v>
      </c>
      <c r="G8" s="18">
        <f t="shared" si="2"/>
        <v>2432.2558067561199</v>
      </c>
      <c r="H8" s="28"/>
    </row>
    <row r="9" spans="1:13" x14ac:dyDescent="0.35">
      <c r="A9" s="7">
        <v>45444</v>
      </c>
      <c r="B9" s="22">
        <v>127206</v>
      </c>
      <c r="C9" s="22">
        <v>748909</v>
      </c>
      <c r="D9" s="22">
        <v>1829848419.53</v>
      </c>
      <c r="E9" s="8">
        <f t="shared" si="3"/>
        <v>5.8873716648585761</v>
      </c>
      <c r="F9" s="18">
        <f t="shared" si="4"/>
        <v>14384.922248400233</v>
      </c>
      <c r="G9" s="18">
        <f t="shared" si="2"/>
        <v>2443.352155642408</v>
      </c>
      <c r="H9" s="28"/>
    </row>
    <row r="10" spans="1:13" x14ac:dyDescent="0.35">
      <c r="A10" s="7">
        <v>45474</v>
      </c>
      <c r="B10" s="22">
        <v>126057</v>
      </c>
      <c r="C10" s="22">
        <v>740164</v>
      </c>
      <c r="D10" s="22">
        <v>1807388982.47</v>
      </c>
      <c r="E10" s="8">
        <f t="shared" si="3"/>
        <v>5.871661232616991</v>
      </c>
      <c r="F10" s="18">
        <f t="shared" si="4"/>
        <v>14337.87082407165</v>
      </c>
      <c r="G10" s="18">
        <f t="shared" ref="G10:G21" si="5">F10/E10</f>
        <v>2441.8763712771761</v>
      </c>
      <c r="H10" s="28"/>
    </row>
    <row r="11" spans="1:13" x14ac:dyDescent="0.35">
      <c r="A11" s="7">
        <v>45505</v>
      </c>
      <c r="B11" s="22">
        <v>125680</v>
      </c>
      <c r="C11" s="22">
        <v>739912</v>
      </c>
      <c r="D11" s="22">
        <v>1825127396.7299981</v>
      </c>
      <c r="E11" s="8">
        <f t="shared" si="3"/>
        <v>5.8872692552514323</v>
      </c>
      <c r="F11" s="18">
        <f t="shared" si="4"/>
        <v>14522.019388367267</v>
      </c>
      <c r="G11" s="18">
        <f t="shared" si="5"/>
        <v>2466.681709081618</v>
      </c>
      <c r="H11" s="28"/>
    </row>
    <row r="12" spans="1:13" x14ac:dyDescent="0.35">
      <c r="A12" s="7">
        <v>45536</v>
      </c>
      <c r="B12" s="22">
        <v>127012</v>
      </c>
      <c r="C12" s="22">
        <v>740010</v>
      </c>
      <c r="D12" s="22">
        <v>1845273774.1800001</v>
      </c>
      <c r="E12" s="8">
        <f t="shared" si="3"/>
        <v>5.8262998771769601</v>
      </c>
      <c r="F12" s="18">
        <f t="shared" si="4"/>
        <v>14528.34200059837</v>
      </c>
      <c r="G12" s="18">
        <f t="shared" si="5"/>
        <v>2493.5795113309282</v>
      </c>
      <c r="H12" s="28"/>
    </row>
    <row r="13" spans="1:13" x14ac:dyDescent="0.35">
      <c r="A13" s="7">
        <v>45566</v>
      </c>
      <c r="B13" s="22">
        <v>128070</v>
      </c>
      <c r="C13" s="22">
        <v>745427</v>
      </c>
      <c r="D13" s="22">
        <v>1902722842.4799995</v>
      </c>
      <c r="E13" s="8">
        <f t="shared" si="3"/>
        <v>5.8204653705005072</v>
      </c>
      <c r="F13" s="18">
        <f t="shared" si="4"/>
        <v>14856.897341141559</v>
      </c>
      <c r="G13" s="18">
        <f t="shared" si="5"/>
        <v>2552.5274003758914</v>
      </c>
      <c r="H13" s="28"/>
    </row>
    <row r="14" spans="1:13" x14ac:dyDescent="0.35">
      <c r="A14" s="7">
        <v>45597</v>
      </c>
      <c r="B14" s="22">
        <v>127781</v>
      </c>
      <c r="C14" s="22">
        <v>738942</v>
      </c>
      <c r="D14" s="22">
        <v>1871553612.4000001</v>
      </c>
      <c r="E14" s="8">
        <f t="shared" si="3"/>
        <v>5.7828785187156146</v>
      </c>
      <c r="F14" s="18">
        <f t="shared" si="4"/>
        <v>14646.571966098247</v>
      </c>
      <c r="G14" s="18">
        <f t="shared" si="5"/>
        <v>2532.7476478532822</v>
      </c>
      <c r="H14" s="28"/>
    </row>
    <row r="15" spans="1:13" ht="15" thickBot="1" x14ac:dyDescent="0.4">
      <c r="A15" s="9">
        <v>45627</v>
      </c>
      <c r="B15" s="23">
        <v>124171</v>
      </c>
      <c r="C15" s="23">
        <v>680066</v>
      </c>
      <c r="D15" s="23">
        <v>1670153244.6500001</v>
      </c>
      <c r="E15" s="10">
        <f t="shared" si="3"/>
        <v>5.4768504723325089</v>
      </c>
      <c r="F15" s="20">
        <f t="shared" si="4"/>
        <v>13450.429203678799</v>
      </c>
      <c r="G15" s="20">
        <f t="shared" si="5"/>
        <v>2455.8693489308394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125711</v>
      </c>
      <c r="C16" s="21">
        <v>681716</v>
      </c>
      <c r="D16" s="21">
        <v>1690425257.5400002</v>
      </c>
      <c r="E16" s="5">
        <f t="shared" si="3"/>
        <v>5.4228826435236375</v>
      </c>
      <c r="F16" s="18">
        <f t="shared" si="4"/>
        <v>13446.916002100057</v>
      </c>
      <c r="G16" s="18">
        <f t="shared" si="5"/>
        <v>2479.6619964031947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126575</v>
      </c>
      <c r="C17" s="22">
        <v>696204</v>
      </c>
      <c r="D17" s="22">
        <v>1778408852.0799992</v>
      </c>
      <c r="E17" s="8">
        <f t="shared" si="3"/>
        <v>5.5003278688524588</v>
      </c>
      <c r="F17" s="18">
        <f t="shared" si="4"/>
        <v>14050.237820106649</v>
      </c>
      <c r="G17" s="18">
        <f t="shared" si="5"/>
        <v>2554.4364181762803</v>
      </c>
      <c r="H17" s="28"/>
    </row>
    <row r="18" spans="1:13" x14ac:dyDescent="0.35">
      <c r="A18" s="7">
        <v>45717</v>
      </c>
      <c r="B18" s="22">
        <v>127483</v>
      </c>
      <c r="C18" s="22">
        <v>702425</v>
      </c>
      <c r="D18" s="22">
        <v>1804109364.940001</v>
      </c>
      <c r="E18" s="8">
        <f t="shared" si="3"/>
        <v>5.5099503463206858</v>
      </c>
      <c r="F18" s="18">
        <f t="shared" si="4"/>
        <v>14151.764273981637</v>
      </c>
      <c r="G18" s="18">
        <f t="shared" si="5"/>
        <v>2568.4014164359201</v>
      </c>
      <c r="H18" s="28"/>
    </row>
    <row r="19" spans="1:13" x14ac:dyDescent="0.35">
      <c r="A19" s="7">
        <v>45748</v>
      </c>
      <c r="B19" s="22">
        <v>129853</v>
      </c>
      <c r="C19" s="22">
        <v>718327</v>
      </c>
      <c r="D19" s="22">
        <v>1871873381</v>
      </c>
      <c r="E19" s="8">
        <f t="shared" si="3"/>
        <v>5.5318475506919365</v>
      </c>
      <c r="F19" s="18">
        <f t="shared" si="4"/>
        <v>14415.326415254172</v>
      </c>
      <c r="G19" s="18">
        <f t="shared" si="5"/>
        <v>2605.8791901181494</v>
      </c>
      <c r="H19" s="28"/>
    </row>
    <row r="20" spans="1:13" x14ac:dyDescent="0.35">
      <c r="A20" s="7">
        <v>45778</v>
      </c>
      <c r="B20" s="22">
        <v>129420</v>
      </c>
      <c r="C20" s="22">
        <v>717499</v>
      </c>
      <c r="D20" s="22">
        <v>1877023167</v>
      </c>
      <c r="E20" s="8">
        <f t="shared" si="3"/>
        <v>5.5439576572399938</v>
      </c>
      <c r="F20" s="18">
        <f t="shared" si="4"/>
        <v>14503.346986555402</v>
      </c>
      <c r="G20" s="18">
        <f t="shared" si="5"/>
        <v>2616.063809148166</v>
      </c>
      <c r="H20" s="28"/>
    </row>
    <row r="21" spans="1:13" x14ac:dyDescent="0.35">
      <c r="A21" s="7">
        <v>45809</v>
      </c>
      <c r="B21" s="22">
        <v>129850</v>
      </c>
      <c r="C21" s="22">
        <v>724068</v>
      </c>
      <c r="D21" s="22">
        <v>1900776417</v>
      </c>
      <c r="E21" s="8">
        <f t="shared" si="3"/>
        <v>5.5761879091259141</v>
      </c>
      <c r="F21" s="18">
        <f t="shared" si="4"/>
        <v>14638.247339237581</v>
      </c>
      <c r="G21" s="18">
        <f t="shared" si="5"/>
        <v>2625.1352317738115</v>
      </c>
      <c r="H21" s="28"/>
    </row>
    <row r="22" spans="1:13" x14ac:dyDescent="0.35">
      <c r="A22" s="7">
        <v>45839</v>
      </c>
      <c r="B22" s="22">
        <v>133176</v>
      </c>
      <c r="C22" s="22">
        <v>733401</v>
      </c>
      <c r="D22" s="22">
        <v>1925967441</v>
      </c>
      <c r="E22" s="8">
        <f t="shared" si="3"/>
        <v>5.5070057668048298</v>
      </c>
      <c r="F22" s="18">
        <f t="shared" si="4"/>
        <v>14461.82075599207</v>
      </c>
      <c r="G22" s="18">
        <f>F22/E22</f>
        <v>2626.0769224476103</v>
      </c>
      <c r="H22" s="28"/>
    </row>
    <row r="23" spans="1:13" x14ac:dyDescent="0.35">
      <c r="A23" s="7">
        <v>45870</v>
      </c>
      <c r="B23" s="22">
        <v>134830</v>
      </c>
      <c r="C23" s="22">
        <v>747425</v>
      </c>
      <c r="D23" s="22">
        <v>1986132013</v>
      </c>
      <c r="E23" s="8">
        <f t="shared" si="3"/>
        <v>5.5434621375064896</v>
      </c>
      <c r="F23" s="18">
        <f t="shared" si="4"/>
        <v>14730.638678335681</v>
      </c>
      <c r="G23" s="18">
        <f>F23/E23</f>
        <v>2657.2994119811351</v>
      </c>
    </row>
    <row r="24" spans="1:13" x14ac:dyDescent="0.35">
      <c r="A24" s="7">
        <v>45901</v>
      </c>
      <c r="B24" s="22">
        <v>136570</v>
      </c>
      <c r="C24" s="22">
        <v>749888</v>
      </c>
      <c r="D24" s="22">
        <v>1997471381</v>
      </c>
      <c r="E24" s="8">
        <f t="shared" ref="E24:E34" si="6">IFERROR(C24/B24,"")</f>
        <v>5.4908691513509558</v>
      </c>
      <c r="F24" s="18">
        <f t="shared" ref="F24:F34" si="7">IFERROR(D24/B24,"")</f>
        <v>14625.989463278904</v>
      </c>
      <c r="G24" s="18">
        <f t="shared" ref="G24:G29" si="8">IFERROR(F24/E24,"")</f>
        <v>2663.6929528142869</v>
      </c>
    </row>
    <row r="25" spans="1:13" x14ac:dyDescent="0.35">
      <c r="A25" s="7">
        <v>45931</v>
      </c>
      <c r="B25" s="22">
        <v>139809</v>
      </c>
      <c r="C25" s="22">
        <v>758906</v>
      </c>
      <c r="D25" s="22">
        <v>2021342705</v>
      </c>
      <c r="E25" s="8">
        <f t="shared" si="6"/>
        <v>5.4281627076940682</v>
      </c>
      <c r="F25" s="18">
        <f t="shared" si="7"/>
        <v>14457.886867082949</v>
      </c>
      <c r="G25" s="18">
        <f t="shared" si="8"/>
        <v>2663.495485606913</v>
      </c>
    </row>
    <row r="26" spans="1:13" x14ac:dyDescent="0.35">
      <c r="A26" s="7">
        <v>45962</v>
      </c>
      <c r="B26" s="22">
        <v>140431</v>
      </c>
      <c r="C26" s="22">
        <v>763231</v>
      </c>
      <c r="D26" s="22">
        <v>2068445648</v>
      </c>
      <c r="E26" s="8">
        <f t="shared" si="6"/>
        <v>5.4349182160634051</v>
      </c>
      <c r="F26" s="18">
        <f t="shared" si="7"/>
        <v>14729.266671888685</v>
      </c>
      <c r="G26" s="18">
        <f t="shared" si="8"/>
        <v>2710.1174454391917</v>
      </c>
    </row>
    <row r="27" spans="1:13" ht="15" thickBot="1" x14ac:dyDescent="0.4">
      <c r="A27" s="9">
        <v>45992</v>
      </c>
      <c r="B27" s="23">
        <v>140626</v>
      </c>
      <c r="C27" s="23">
        <v>763821</v>
      </c>
      <c r="D27" s="23">
        <v>2077585681</v>
      </c>
      <c r="E27" s="10">
        <f t="shared" si="6"/>
        <v>5.4315773754497743</v>
      </c>
      <c r="F27" s="20">
        <f t="shared" si="7"/>
        <v>14773.837562044004</v>
      </c>
      <c r="G27" s="20">
        <f t="shared" si="8"/>
        <v>2719.9902608071789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131641</v>
      </c>
      <c r="C28" s="21">
        <v>643375</v>
      </c>
      <c r="D28" s="21">
        <v>1573645740</v>
      </c>
      <c r="E28" s="5">
        <f t="shared" si="6"/>
        <v>4.8873451280376177</v>
      </c>
      <c r="F28" s="18">
        <f t="shared" si="7"/>
        <v>11954.070084548128</v>
      </c>
      <c r="G28" s="18">
        <f t="shared" si="8"/>
        <v>2445.9230464348166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131958</v>
      </c>
      <c r="C29" s="22">
        <v>645798</v>
      </c>
      <c r="D29" s="22">
        <v>1594039640</v>
      </c>
      <c r="E29" s="8">
        <f t="shared" si="6"/>
        <v>4.8939662619924524</v>
      </c>
      <c r="F29" s="18">
        <f t="shared" si="7"/>
        <v>12079.901483805454</v>
      </c>
      <c r="G29" s="18">
        <f t="shared" si="8"/>
        <v>2468.3254516118041</v>
      </c>
      <c r="H29" s="28"/>
    </row>
    <row r="30" spans="1:13" x14ac:dyDescent="0.35">
      <c r="A30" s="7">
        <v>46082</v>
      </c>
      <c r="B30" s="22">
        <v>132632</v>
      </c>
      <c r="C30" s="22">
        <v>654128</v>
      </c>
      <c r="D30" s="22">
        <v>1648160218</v>
      </c>
      <c r="E30" s="8">
        <f t="shared" si="6"/>
        <v>4.9319018034863378</v>
      </c>
      <c r="F30" s="18">
        <f t="shared" si="7"/>
        <v>12426.565368840098</v>
      </c>
      <c r="G30" s="18">
        <f t="shared" ref="G30" si="9">IFERROR(F30/E30,"")</f>
        <v>2519.6295189932248</v>
      </c>
      <c r="H30" s="28"/>
    </row>
    <row r="31" spans="1:13" x14ac:dyDescent="0.35">
      <c r="A31" s="7">
        <v>46113</v>
      </c>
      <c r="B31" s="22">
        <v>133963</v>
      </c>
      <c r="C31" s="22">
        <v>663444</v>
      </c>
      <c r="D31" s="22">
        <v>1696042279</v>
      </c>
      <c r="E31" s="8">
        <f t="shared" si="6"/>
        <v>4.9524420922194938</v>
      </c>
      <c r="F31" s="18">
        <f t="shared" si="7"/>
        <v>12660.527750199682</v>
      </c>
      <c r="G31" s="18">
        <f t="shared" ref="G31" si="10">IFERROR(F31/E31,"")</f>
        <v>2556.4211583796068</v>
      </c>
      <c r="H31" s="28"/>
    </row>
    <row r="32" spans="1:13" x14ac:dyDescent="0.35">
      <c r="A32" s="7">
        <v>46143</v>
      </c>
      <c r="B32" s="22">
        <v>133895</v>
      </c>
      <c r="C32" s="22">
        <v>670105</v>
      </c>
      <c r="D32" s="22">
        <v>1763108249</v>
      </c>
      <c r="E32" s="8">
        <f t="shared" si="6"/>
        <v>5.0047051794316442</v>
      </c>
      <c r="F32" s="18">
        <f t="shared" si="7"/>
        <v>13167.842331677808</v>
      </c>
      <c r="G32" s="18">
        <f t="shared" ref="G32" si="11">IFERROR(F32/E32,"")</f>
        <v>2631.0925138597686</v>
      </c>
      <c r="H32" s="28"/>
    </row>
    <row r="33" spans="1:13" x14ac:dyDescent="0.35">
      <c r="A33" s="7">
        <v>46174</v>
      </c>
      <c r="B33" s="22">
        <v>136167</v>
      </c>
      <c r="C33" s="22">
        <v>675428</v>
      </c>
      <c r="D33" s="22">
        <v>1767422574</v>
      </c>
      <c r="E33" s="8">
        <f t="shared" si="6"/>
        <v>4.9602914068753812</v>
      </c>
      <c r="F33" s="18">
        <f t="shared" si="7"/>
        <v>12979.815770340832</v>
      </c>
      <c r="G33" s="18">
        <f t="shared" ref="G33" si="12">IFERROR(F33/E33,"")</f>
        <v>2616.7446034218306</v>
      </c>
      <c r="H33" s="28"/>
    </row>
    <row r="34" spans="1:13" x14ac:dyDescent="0.35">
      <c r="A34" s="7">
        <v>46204</v>
      </c>
      <c r="B34" s="22">
        <v>136869</v>
      </c>
      <c r="C34" s="22">
        <v>676500</v>
      </c>
      <c r="D34" s="22">
        <v>1767810412</v>
      </c>
      <c r="E34" s="8">
        <f t="shared" si="6"/>
        <v>4.9426824189553518</v>
      </c>
      <c r="F34" s="18">
        <f t="shared" si="7"/>
        <v>12916.076043516063</v>
      </c>
      <c r="G34" s="18">
        <f t="shared" ref="G34" si="13">IFERROR(F34/E34,"")</f>
        <v>2613.171340724316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4878-CA90-4E2C-B02E-AD08954C3E23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H38" sqref="H38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39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225205</v>
      </c>
      <c r="C4" s="21">
        <v>1790298</v>
      </c>
      <c r="D4" s="21">
        <v>5062208979.670001</v>
      </c>
      <c r="E4" s="5">
        <f t="shared" ref="E4:E7" si="0">C4/B4</f>
        <v>7.9496369974023668</v>
      </c>
      <c r="F4" s="18">
        <f t="shared" ref="F4:F7" si="1">D4/B4</f>
        <v>22478.226414466822</v>
      </c>
      <c r="G4" s="18">
        <f t="shared" ref="G4:G9" si="2">F4/E4</f>
        <v>2827.5789727017518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224568</v>
      </c>
      <c r="C5" s="22">
        <v>1800784</v>
      </c>
      <c r="D5" s="22">
        <v>5150939867.8100014</v>
      </c>
      <c r="E5" s="8">
        <f t="shared" si="0"/>
        <v>8.0188806953795737</v>
      </c>
      <c r="F5" s="18">
        <f t="shared" si="1"/>
        <v>22937.105321372597</v>
      </c>
      <c r="G5" s="18">
        <f t="shared" si="2"/>
        <v>2860.3874022703449</v>
      </c>
      <c r="H5" s="28"/>
    </row>
    <row r="6" spans="1:13" x14ac:dyDescent="0.35">
      <c r="A6" s="7">
        <v>45352</v>
      </c>
      <c r="B6" s="22">
        <v>213587</v>
      </c>
      <c r="C6" s="22">
        <v>1649575</v>
      </c>
      <c r="D6" s="22">
        <v>4712097318.1900005</v>
      </c>
      <c r="E6" s="8">
        <f t="shared" si="0"/>
        <v>7.7231994456591462</v>
      </c>
      <c r="F6" s="18">
        <f t="shared" si="1"/>
        <v>22061.723411022209</v>
      </c>
      <c r="G6" s="18">
        <f t="shared" si="2"/>
        <v>2856.5523351105589</v>
      </c>
      <c r="H6" s="28"/>
    </row>
    <row r="7" spans="1:13" x14ac:dyDescent="0.35">
      <c r="A7" s="7">
        <v>45383</v>
      </c>
      <c r="B7" s="22">
        <v>214948</v>
      </c>
      <c r="C7" s="22">
        <v>1671463</v>
      </c>
      <c r="D7" s="22">
        <v>4843059664.6600018</v>
      </c>
      <c r="E7" s="8">
        <f t="shared" si="0"/>
        <v>7.7761272493812461</v>
      </c>
      <c r="F7" s="18">
        <f t="shared" si="1"/>
        <v>22531.308338109691</v>
      </c>
      <c r="G7" s="18">
        <f t="shared" si="2"/>
        <v>2897.4973808334385</v>
      </c>
      <c r="H7" s="28"/>
    </row>
    <row r="8" spans="1:13" x14ac:dyDescent="0.35">
      <c r="A8" s="7">
        <v>45413</v>
      </c>
      <c r="B8" s="22">
        <v>214763</v>
      </c>
      <c r="C8" s="22">
        <v>1699549</v>
      </c>
      <c r="D8" s="22">
        <v>5010233986.4599972</v>
      </c>
      <c r="E8" s="8">
        <f t="shared" ref="E8:E23" si="3">C8/B8</f>
        <v>7.9136024361738286</v>
      </c>
      <c r="F8" s="18">
        <f t="shared" ref="F8:F23" si="4">D8/B8</f>
        <v>23329.130187509007</v>
      </c>
      <c r="G8" s="18">
        <f t="shared" si="2"/>
        <v>2947.978543990198</v>
      </c>
      <c r="H8" s="28"/>
    </row>
    <row r="9" spans="1:13" x14ac:dyDescent="0.35">
      <c r="A9" s="7">
        <v>45444</v>
      </c>
      <c r="B9" s="22">
        <v>207017</v>
      </c>
      <c r="C9" s="22">
        <v>1558030</v>
      </c>
      <c r="D9" s="22">
        <v>4451443223.5600004</v>
      </c>
      <c r="E9" s="8">
        <f t="shared" si="3"/>
        <v>7.5260968905935259</v>
      </c>
      <c r="F9" s="18">
        <f t="shared" si="4"/>
        <v>21502.790705884061</v>
      </c>
      <c r="G9" s="18">
        <f t="shared" si="2"/>
        <v>2857.0972468822815</v>
      </c>
      <c r="H9" s="28"/>
    </row>
    <row r="10" spans="1:13" x14ac:dyDescent="0.35">
      <c r="A10" s="7">
        <v>45474</v>
      </c>
      <c r="B10" s="22">
        <v>206984</v>
      </c>
      <c r="C10" s="22">
        <v>1542147</v>
      </c>
      <c r="D10" s="22">
        <v>4363633039.9799995</v>
      </c>
      <c r="E10" s="8">
        <f t="shared" si="3"/>
        <v>7.4505613960499364</v>
      </c>
      <c r="F10" s="18">
        <f t="shared" si="4"/>
        <v>21081.982375352683</v>
      </c>
      <c r="G10" s="18">
        <f t="shared" ref="G10:G21" si="5">F10/E10</f>
        <v>2829.5830682678111</v>
      </c>
      <c r="H10" s="28"/>
    </row>
    <row r="11" spans="1:13" x14ac:dyDescent="0.35">
      <c r="A11" s="7">
        <v>45505</v>
      </c>
      <c r="B11" s="22">
        <v>206608</v>
      </c>
      <c r="C11" s="22">
        <v>1539421</v>
      </c>
      <c r="D11" s="22">
        <v>4368175206.9699993</v>
      </c>
      <c r="E11" s="8">
        <f t="shared" si="3"/>
        <v>7.4509263920080535</v>
      </c>
      <c r="F11" s="18">
        <f t="shared" si="4"/>
        <v>21142.333341254933</v>
      </c>
      <c r="G11" s="18">
        <f t="shared" si="5"/>
        <v>2837.5442500589502</v>
      </c>
      <c r="H11" s="28"/>
    </row>
    <row r="12" spans="1:13" x14ac:dyDescent="0.35">
      <c r="A12" s="7">
        <v>45536</v>
      </c>
      <c r="B12" s="22">
        <v>207975</v>
      </c>
      <c r="C12" s="22">
        <v>1548829</v>
      </c>
      <c r="D12" s="22">
        <v>4428840290.8899994</v>
      </c>
      <c r="E12" s="8">
        <f t="shared" si="3"/>
        <v>7.4471883639860561</v>
      </c>
      <c r="F12" s="18">
        <f t="shared" si="4"/>
        <v>21295.060901021756</v>
      </c>
      <c r="G12" s="18">
        <f t="shared" si="5"/>
        <v>2859.4766051578317</v>
      </c>
      <c r="H12" s="28"/>
    </row>
    <row r="13" spans="1:13" x14ac:dyDescent="0.35">
      <c r="A13" s="7">
        <v>45566</v>
      </c>
      <c r="B13" s="22">
        <v>209852</v>
      </c>
      <c r="C13" s="22">
        <v>1572546</v>
      </c>
      <c r="D13" s="22">
        <v>4579889810.2299995</v>
      </c>
      <c r="E13" s="8">
        <f t="shared" si="3"/>
        <v>7.4935954863427554</v>
      </c>
      <c r="F13" s="18">
        <f t="shared" si="4"/>
        <v>21824.380088014408</v>
      </c>
      <c r="G13" s="18">
        <f t="shared" si="5"/>
        <v>2912.4043495261822</v>
      </c>
      <c r="H13" s="28"/>
    </row>
    <row r="14" spans="1:13" x14ac:dyDescent="0.35">
      <c r="A14" s="7">
        <v>45597</v>
      </c>
      <c r="B14" s="22">
        <v>207558</v>
      </c>
      <c r="C14" s="22">
        <v>1511174</v>
      </c>
      <c r="D14" s="22">
        <v>4375318990.6099987</v>
      </c>
      <c r="E14" s="8">
        <f t="shared" si="3"/>
        <v>7.2807311691189929</v>
      </c>
      <c r="F14" s="18">
        <f t="shared" si="4"/>
        <v>21079.982417492934</v>
      </c>
      <c r="G14" s="18">
        <f t="shared" si="5"/>
        <v>2895.3111889233132</v>
      </c>
      <c r="H14" s="28"/>
    </row>
    <row r="15" spans="1:13" ht="15" thickBot="1" x14ac:dyDescent="0.4">
      <c r="A15" s="9">
        <v>45627</v>
      </c>
      <c r="B15" s="23">
        <v>221331</v>
      </c>
      <c r="C15" s="23">
        <v>1566250</v>
      </c>
      <c r="D15" s="23">
        <v>4425638136.9300013</v>
      </c>
      <c r="E15" s="10">
        <f t="shared" si="3"/>
        <v>7.0765053246043257</v>
      </c>
      <c r="F15" s="20">
        <f t="shared" si="4"/>
        <v>19995.563824904788</v>
      </c>
      <c r="G15" s="20">
        <f t="shared" si="5"/>
        <v>2825.6269030678382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223721</v>
      </c>
      <c r="C16" s="21">
        <v>1580233</v>
      </c>
      <c r="D16" s="21">
        <v>4526939470.2500114</v>
      </c>
      <c r="E16" s="5">
        <f t="shared" si="3"/>
        <v>7.063409335735134</v>
      </c>
      <c r="F16" s="18">
        <f t="shared" si="4"/>
        <v>20234.754315643197</v>
      </c>
      <c r="G16" s="18">
        <f t="shared" si="5"/>
        <v>2864.7291065621412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229209</v>
      </c>
      <c r="C17" s="22">
        <v>1641263</v>
      </c>
      <c r="D17" s="22">
        <v>4835073130.0500059</v>
      </c>
      <c r="E17" s="8">
        <f t="shared" si="3"/>
        <v>7.1605521598192041</v>
      </c>
      <c r="F17" s="18">
        <f t="shared" si="4"/>
        <v>21094.604182427418</v>
      </c>
      <c r="G17" s="18">
        <f t="shared" si="5"/>
        <v>2945.9465850689417</v>
      </c>
      <c r="H17" s="28"/>
    </row>
    <row r="18" spans="1:13" x14ac:dyDescent="0.35">
      <c r="A18" s="7">
        <v>45717</v>
      </c>
      <c r="B18" s="22">
        <v>233922</v>
      </c>
      <c r="C18" s="22">
        <v>1691172</v>
      </c>
      <c r="D18" s="22">
        <v>5032164233.9300022</v>
      </c>
      <c r="E18" s="8">
        <f t="shared" si="3"/>
        <v>7.2296406494472514</v>
      </c>
      <c r="F18" s="18">
        <f t="shared" si="4"/>
        <v>21512.146074033233</v>
      </c>
      <c r="G18" s="18">
        <f t="shared" si="5"/>
        <v>2975.5484562953989</v>
      </c>
      <c r="H18" s="28"/>
    </row>
    <row r="19" spans="1:13" x14ac:dyDescent="0.35">
      <c r="A19" s="7">
        <v>45748</v>
      </c>
      <c r="B19" s="22">
        <v>240793</v>
      </c>
      <c r="C19" s="22">
        <v>1733810</v>
      </c>
      <c r="D19" s="22">
        <v>5296872625</v>
      </c>
      <c r="E19" s="8">
        <f t="shared" si="3"/>
        <v>7.2004169556423978</v>
      </c>
      <c r="F19" s="18">
        <f t="shared" si="4"/>
        <v>21997.618805363942</v>
      </c>
      <c r="G19" s="18">
        <f t="shared" si="5"/>
        <v>3055.0479147080705</v>
      </c>
      <c r="H19" s="28"/>
    </row>
    <row r="20" spans="1:13" x14ac:dyDescent="0.35">
      <c r="A20" s="7">
        <v>45778</v>
      </c>
      <c r="B20" s="22">
        <v>245133</v>
      </c>
      <c r="C20" s="22">
        <v>1761671</v>
      </c>
      <c r="D20" s="22">
        <v>5422439982</v>
      </c>
      <c r="E20" s="8">
        <f t="shared" si="3"/>
        <v>7.1865925844337566</v>
      </c>
      <c r="F20" s="18">
        <f t="shared" si="4"/>
        <v>22120.399872722155</v>
      </c>
      <c r="G20" s="18">
        <f t="shared" si="5"/>
        <v>3078.0094478480942</v>
      </c>
      <c r="H20" s="28"/>
    </row>
    <row r="21" spans="1:13" x14ac:dyDescent="0.35">
      <c r="A21" s="7">
        <v>45809</v>
      </c>
      <c r="B21" s="22">
        <v>249628</v>
      </c>
      <c r="C21" s="22">
        <v>1816175</v>
      </c>
      <c r="D21" s="22">
        <v>5607996222</v>
      </c>
      <c r="E21" s="8">
        <f t="shared" si="3"/>
        <v>7.2755259826622014</v>
      </c>
      <c r="F21" s="18">
        <f t="shared" si="4"/>
        <v>22465.413423173683</v>
      </c>
      <c r="G21" s="18">
        <f t="shared" si="5"/>
        <v>3087.8060880697071</v>
      </c>
      <c r="H21" s="28"/>
    </row>
    <row r="22" spans="1:13" x14ac:dyDescent="0.35">
      <c r="A22" s="7">
        <v>45839</v>
      </c>
      <c r="B22" s="22">
        <v>255309</v>
      </c>
      <c r="C22" s="22">
        <v>1849011</v>
      </c>
      <c r="D22" s="22">
        <v>5739506771</v>
      </c>
      <c r="E22" s="8">
        <f t="shared" si="3"/>
        <v>7.2422476293432663</v>
      </c>
      <c r="F22" s="18">
        <f t="shared" si="4"/>
        <v>22480.628458064541</v>
      </c>
      <c r="G22" s="18">
        <f>F22/E22</f>
        <v>3104.0955251212677</v>
      </c>
      <c r="H22" s="28"/>
    </row>
    <row r="23" spans="1:13" x14ac:dyDescent="0.35">
      <c r="A23" s="7">
        <v>45870</v>
      </c>
      <c r="B23" s="22">
        <v>258726</v>
      </c>
      <c r="C23" s="22">
        <v>1889732</v>
      </c>
      <c r="D23" s="22">
        <v>5964726471</v>
      </c>
      <c r="E23" s="8">
        <f t="shared" si="3"/>
        <v>7.3039895487890663</v>
      </c>
      <c r="F23" s="18">
        <f t="shared" si="4"/>
        <v>23054.221342269429</v>
      </c>
      <c r="G23" s="18">
        <f>F23/E23</f>
        <v>3156.3875041540286</v>
      </c>
    </row>
    <row r="24" spans="1:13" x14ac:dyDescent="0.35">
      <c r="A24" s="7">
        <v>45901</v>
      </c>
      <c r="B24" s="22">
        <v>265076</v>
      </c>
      <c r="C24" s="22">
        <v>1913048</v>
      </c>
      <c r="D24" s="22">
        <v>6036014715</v>
      </c>
      <c r="E24" s="8">
        <f t="shared" ref="E24:E34" si="6">IFERROR(C24/B24,"")</f>
        <v>7.2169792814136322</v>
      </c>
      <c r="F24" s="18">
        <f t="shared" ref="F24:F34" si="7">IFERROR(D24/B24,"")</f>
        <v>22770.883501335466</v>
      </c>
      <c r="G24" s="18">
        <f t="shared" ref="G24:G29" si="8">IFERROR(F24/E24,"")</f>
        <v>3155.1820524106033</v>
      </c>
    </row>
    <row r="25" spans="1:13" x14ac:dyDescent="0.35">
      <c r="A25" s="7">
        <v>45931</v>
      </c>
      <c r="B25" s="22">
        <v>274228</v>
      </c>
      <c r="C25" s="22">
        <v>1937523</v>
      </c>
      <c r="D25" s="22">
        <v>6081136378</v>
      </c>
      <c r="E25" s="8">
        <f t="shared" si="6"/>
        <v>7.0653726096532816</v>
      </c>
      <c r="F25" s="18">
        <f t="shared" si="7"/>
        <v>22175.475801158162</v>
      </c>
      <c r="G25" s="18">
        <f t="shared" si="8"/>
        <v>3138.6137754235692</v>
      </c>
    </row>
    <row r="26" spans="1:13" x14ac:dyDescent="0.35">
      <c r="A26" s="7">
        <v>45962</v>
      </c>
      <c r="B26" s="22">
        <v>280493</v>
      </c>
      <c r="C26" s="22">
        <v>1969825</v>
      </c>
      <c r="D26" s="22">
        <v>6322019134</v>
      </c>
      <c r="E26" s="8">
        <f t="shared" si="6"/>
        <v>7.022724274759085</v>
      </c>
      <c r="F26" s="18">
        <f t="shared" si="7"/>
        <v>22538.955104048942</v>
      </c>
      <c r="G26" s="18">
        <f t="shared" si="8"/>
        <v>3209.4318703438121</v>
      </c>
    </row>
    <row r="27" spans="1:13" ht="15" thickBot="1" x14ac:dyDescent="0.4">
      <c r="A27" s="9">
        <v>45992</v>
      </c>
      <c r="B27" s="23">
        <v>284141</v>
      </c>
      <c r="C27" s="23">
        <v>1996568</v>
      </c>
      <c r="D27" s="23">
        <v>6420638715</v>
      </c>
      <c r="E27" s="10">
        <f t="shared" si="6"/>
        <v>7.0266804157091025</v>
      </c>
      <c r="F27" s="20">
        <f t="shared" si="7"/>
        <v>22596.664032997702</v>
      </c>
      <c r="G27" s="20">
        <f t="shared" si="8"/>
        <v>3215.8377350533515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237317</v>
      </c>
      <c r="C28" s="21">
        <v>1353792</v>
      </c>
      <c r="D28" s="21">
        <v>3812795215</v>
      </c>
      <c r="E28" s="5">
        <f t="shared" si="6"/>
        <v>5.7045723652330009</v>
      </c>
      <c r="F28" s="18">
        <f t="shared" si="7"/>
        <v>16066.254061023863</v>
      </c>
      <c r="G28" s="18">
        <f t="shared" si="8"/>
        <v>2816.3818481716539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239183</v>
      </c>
      <c r="C29" s="22">
        <v>1363064</v>
      </c>
      <c r="D29" s="22">
        <v>3854242308</v>
      </c>
      <c r="E29" s="8">
        <f t="shared" si="6"/>
        <v>5.6988331110488621</v>
      </c>
      <c r="F29" s="18">
        <f t="shared" si="7"/>
        <v>16114.198366940795</v>
      </c>
      <c r="G29" s="18">
        <f t="shared" si="8"/>
        <v>2827.6312102733255</v>
      </c>
      <c r="H29" s="28"/>
    </row>
    <row r="30" spans="1:13" x14ac:dyDescent="0.35">
      <c r="A30" s="7">
        <v>46082</v>
      </c>
      <c r="B30" s="22">
        <v>241732</v>
      </c>
      <c r="C30" s="22">
        <v>1395947</v>
      </c>
      <c r="D30" s="22">
        <v>4033857443</v>
      </c>
      <c r="E30" s="8">
        <f t="shared" si="6"/>
        <v>5.7747712342594282</v>
      </c>
      <c r="F30" s="18">
        <f t="shared" si="7"/>
        <v>16687.312573428426</v>
      </c>
      <c r="G30" s="18">
        <f t="shared" ref="G30" si="9">IFERROR(F30/E30,"")</f>
        <v>2889.6924045110595</v>
      </c>
      <c r="H30" s="28"/>
    </row>
    <row r="31" spans="1:13" x14ac:dyDescent="0.35">
      <c r="A31" s="7">
        <v>46113</v>
      </c>
      <c r="B31" s="22">
        <v>244254</v>
      </c>
      <c r="C31" s="22">
        <v>1421489</v>
      </c>
      <c r="D31" s="22">
        <v>4128027256</v>
      </c>
      <c r="E31" s="8">
        <f t="shared" si="6"/>
        <v>5.8197163608374884</v>
      </c>
      <c r="F31" s="18">
        <f t="shared" si="7"/>
        <v>16900.551294963439</v>
      </c>
      <c r="G31" s="18">
        <f t="shared" ref="G31" si="10">IFERROR(F31/E31,"")</f>
        <v>2904.0163209141965</v>
      </c>
      <c r="H31" s="28"/>
    </row>
    <row r="32" spans="1:13" x14ac:dyDescent="0.35">
      <c r="A32" s="7">
        <v>46143</v>
      </c>
      <c r="B32" s="22">
        <v>247336</v>
      </c>
      <c r="C32" s="22">
        <v>1457409</v>
      </c>
      <c r="D32" s="22">
        <v>4327324995</v>
      </c>
      <c r="E32" s="8">
        <f t="shared" si="6"/>
        <v>5.8924256881327421</v>
      </c>
      <c r="F32" s="18">
        <f t="shared" si="7"/>
        <v>17495.734527121</v>
      </c>
      <c r="G32" s="18">
        <f t="shared" ref="G32" si="11">IFERROR(F32/E32,"")</f>
        <v>2969.1905257892599</v>
      </c>
      <c r="H32" s="28"/>
    </row>
    <row r="33" spans="1:13" x14ac:dyDescent="0.35">
      <c r="A33" s="7">
        <v>46174</v>
      </c>
      <c r="B33" s="22">
        <v>250101</v>
      </c>
      <c r="C33" s="22">
        <v>1472763</v>
      </c>
      <c r="D33" s="22">
        <v>4399930316</v>
      </c>
      <c r="E33" s="8">
        <f t="shared" si="6"/>
        <v>5.8886729761176486</v>
      </c>
      <c r="F33" s="18">
        <f t="shared" si="7"/>
        <v>17592.613848005407</v>
      </c>
      <c r="G33" s="18">
        <f t="shared" ref="G33" si="12">IFERROR(F33/E33,"")</f>
        <v>2987.5345293166656</v>
      </c>
      <c r="H33" s="28"/>
    </row>
    <row r="34" spans="1:13" x14ac:dyDescent="0.35">
      <c r="A34" s="7">
        <v>46204</v>
      </c>
      <c r="B34" s="22">
        <v>252054</v>
      </c>
      <c r="C34" s="22">
        <v>1479808</v>
      </c>
      <c r="D34" s="22">
        <v>4375484090</v>
      </c>
      <c r="E34" s="8">
        <f t="shared" si="6"/>
        <v>5.8709958977044598</v>
      </c>
      <c r="F34" s="18">
        <f t="shared" si="7"/>
        <v>17359.312250549487</v>
      </c>
      <c r="G34" s="18">
        <f t="shared" ref="G34" si="13">IFERROR(F34/E34,"")</f>
        <v>2956.7917527138661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A387-4775-4AF6-B7EB-3B9C47806069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H34" sqref="H34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40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117496</v>
      </c>
      <c r="C4" s="21">
        <v>801370</v>
      </c>
      <c r="D4" s="21">
        <v>1877693539.2600007</v>
      </c>
      <c r="E4" s="5">
        <f t="shared" ref="E4:E7" si="0">C4/B4</f>
        <v>6.8204023966773333</v>
      </c>
      <c r="F4" s="18">
        <f t="shared" ref="F4:F7" si="1">D4/B4</f>
        <v>15980.914578028194</v>
      </c>
      <c r="G4" s="18">
        <f t="shared" ref="G4:G9" si="2">F4/E4</f>
        <v>2343.104357862162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117486</v>
      </c>
      <c r="C5" s="22">
        <v>798933</v>
      </c>
      <c r="D5" s="22">
        <v>1899613171.6799989</v>
      </c>
      <c r="E5" s="8">
        <f t="shared" si="0"/>
        <v>6.800240028599152</v>
      </c>
      <c r="F5" s="18">
        <f t="shared" si="1"/>
        <v>16168.847110974915</v>
      </c>
      <c r="G5" s="18">
        <f t="shared" si="2"/>
        <v>2377.6877055773125</v>
      </c>
      <c r="H5" s="28"/>
    </row>
    <row r="6" spans="1:13" x14ac:dyDescent="0.35">
      <c r="A6" s="7">
        <v>45352</v>
      </c>
      <c r="B6" s="22">
        <v>118115</v>
      </c>
      <c r="C6" s="22">
        <v>816694</v>
      </c>
      <c r="D6" s="22">
        <v>1974136931.5299978</v>
      </c>
      <c r="E6" s="8">
        <f t="shared" si="0"/>
        <v>6.9143969859882315</v>
      </c>
      <c r="F6" s="18">
        <f t="shared" si="1"/>
        <v>16713.685234982837</v>
      </c>
      <c r="G6" s="18">
        <f t="shared" si="2"/>
        <v>2417.2296252084598</v>
      </c>
      <c r="H6" s="28"/>
    </row>
    <row r="7" spans="1:13" x14ac:dyDescent="0.35">
      <c r="A7" s="7">
        <v>45383</v>
      </c>
      <c r="B7" s="22">
        <v>118331</v>
      </c>
      <c r="C7" s="22">
        <v>807095</v>
      </c>
      <c r="D7" s="22">
        <v>2008807913.0299971</v>
      </c>
      <c r="E7" s="8">
        <f t="shared" si="0"/>
        <v>6.820655618561493</v>
      </c>
      <c r="F7" s="18">
        <f t="shared" si="1"/>
        <v>16976.176260067077</v>
      </c>
      <c r="G7" s="18">
        <f t="shared" si="2"/>
        <v>2488.9361389055775</v>
      </c>
      <c r="H7" s="28"/>
    </row>
    <row r="8" spans="1:13" x14ac:dyDescent="0.35">
      <c r="A8" s="7">
        <v>45413</v>
      </c>
      <c r="B8" s="22">
        <v>119078</v>
      </c>
      <c r="C8" s="22">
        <v>815315</v>
      </c>
      <c r="D8" s="22">
        <v>2084180255.3700011</v>
      </c>
      <c r="E8" s="8">
        <f t="shared" ref="E8:E23" si="3">C8/B8</f>
        <v>6.8468986714590434</v>
      </c>
      <c r="F8" s="18">
        <f t="shared" ref="F8:F23" si="4">D8/B8</f>
        <v>17502.647469473799</v>
      </c>
      <c r="G8" s="18">
        <f t="shared" si="2"/>
        <v>2556.2883736592621</v>
      </c>
      <c r="H8" s="28"/>
    </row>
    <row r="9" spans="1:13" x14ac:dyDescent="0.35">
      <c r="A9" s="7">
        <v>45444</v>
      </c>
      <c r="B9" s="22">
        <v>119210</v>
      </c>
      <c r="C9" s="22">
        <v>799778</v>
      </c>
      <c r="D9" s="22">
        <v>2101489010.8</v>
      </c>
      <c r="E9" s="8">
        <f t="shared" si="3"/>
        <v>6.7089841456253669</v>
      </c>
      <c r="F9" s="18">
        <f t="shared" si="4"/>
        <v>17628.462467913767</v>
      </c>
      <c r="G9" s="18">
        <f t="shared" si="2"/>
        <v>2627.5904198415064</v>
      </c>
      <c r="H9" s="28"/>
    </row>
    <row r="10" spans="1:13" x14ac:dyDescent="0.35">
      <c r="A10" s="7">
        <v>45474</v>
      </c>
      <c r="B10" s="22">
        <v>121346</v>
      </c>
      <c r="C10" s="22">
        <v>793140</v>
      </c>
      <c r="D10" s="22">
        <v>2105705025.25</v>
      </c>
      <c r="E10" s="8">
        <f t="shared" si="3"/>
        <v>6.5361857828028942</v>
      </c>
      <c r="F10" s="18">
        <f t="shared" si="4"/>
        <v>17352.900180063622</v>
      </c>
      <c r="G10" s="18">
        <f t="shared" ref="G10:G21" si="5">F10/E10</f>
        <v>2654.8970235393504</v>
      </c>
      <c r="H10" s="28"/>
    </row>
    <row r="11" spans="1:13" x14ac:dyDescent="0.35">
      <c r="A11" s="7">
        <v>45505</v>
      </c>
      <c r="B11" s="22">
        <v>121748</v>
      </c>
      <c r="C11" s="22">
        <v>788174</v>
      </c>
      <c r="D11" s="22">
        <v>2136192993.6299975</v>
      </c>
      <c r="E11" s="8">
        <f t="shared" si="3"/>
        <v>6.4738147649242697</v>
      </c>
      <c r="F11" s="18">
        <f t="shared" si="4"/>
        <v>17546.021237556244</v>
      </c>
      <c r="G11" s="18">
        <f t="shared" si="5"/>
        <v>2710.3063455911988</v>
      </c>
      <c r="H11" s="28"/>
    </row>
    <row r="12" spans="1:13" x14ac:dyDescent="0.35">
      <c r="A12" s="7">
        <v>45536</v>
      </c>
      <c r="B12" s="22">
        <v>122867</v>
      </c>
      <c r="C12" s="22">
        <v>794239</v>
      </c>
      <c r="D12" s="22">
        <v>2196617743.3599982</v>
      </c>
      <c r="E12" s="8">
        <f t="shared" si="3"/>
        <v>6.4642174058127893</v>
      </c>
      <c r="F12" s="18">
        <f t="shared" si="4"/>
        <v>17878.012349613797</v>
      </c>
      <c r="G12" s="18">
        <f t="shared" si="5"/>
        <v>2765.6885941889009</v>
      </c>
      <c r="H12" s="28"/>
    </row>
    <row r="13" spans="1:13" x14ac:dyDescent="0.35">
      <c r="A13" s="7">
        <v>45566</v>
      </c>
      <c r="B13" s="22">
        <v>123723</v>
      </c>
      <c r="C13" s="22">
        <v>801212</v>
      </c>
      <c r="D13" s="22">
        <v>2269919852.0900011</v>
      </c>
      <c r="E13" s="8">
        <f t="shared" si="3"/>
        <v>6.4758533174914934</v>
      </c>
      <c r="F13" s="18">
        <f t="shared" si="4"/>
        <v>18346.78961947254</v>
      </c>
      <c r="G13" s="18">
        <f t="shared" si="5"/>
        <v>2833.1076570121277</v>
      </c>
      <c r="H13" s="28"/>
    </row>
    <row r="14" spans="1:13" x14ac:dyDescent="0.35">
      <c r="A14" s="7">
        <v>45597</v>
      </c>
      <c r="B14" s="22">
        <v>110707</v>
      </c>
      <c r="C14" s="22">
        <v>678246</v>
      </c>
      <c r="D14" s="22">
        <v>1853135901.6000006</v>
      </c>
      <c r="E14" s="8">
        <f t="shared" si="3"/>
        <v>6.1264960661927432</v>
      </c>
      <c r="F14" s="18">
        <f t="shared" si="4"/>
        <v>16739.103232857909</v>
      </c>
      <c r="G14" s="18">
        <f t="shared" si="5"/>
        <v>2732.2474465017126</v>
      </c>
      <c r="H14" s="28"/>
    </row>
    <row r="15" spans="1:13" ht="15" thickBot="1" x14ac:dyDescent="0.4">
      <c r="A15" s="9">
        <v>45627</v>
      </c>
      <c r="B15" s="23">
        <v>112618</v>
      </c>
      <c r="C15" s="23">
        <v>683530</v>
      </c>
      <c r="D15" s="23">
        <v>1841303131.9099996</v>
      </c>
      <c r="E15" s="10">
        <f t="shared" si="3"/>
        <v>6.0694560372231789</v>
      </c>
      <c r="F15" s="20">
        <f t="shared" si="4"/>
        <v>16349.989627857</v>
      </c>
      <c r="G15" s="20">
        <f t="shared" si="5"/>
        <v>2693.814656137989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115221</v>
      </c>
      <c r="C16" s="21">
        <v>703463</v>
      </c>
      <c r="D16" s="21">
        <v>1922603138.6899979</v>
      </c>
      <c r="E16" s="5">
        <f t="shared" si="3"/>
        <v>6.1053367007750321</v>
      </c>
      <c r="F16" s="18">
        <f t="shared" si="4"/>
        <v>16686.221597538624</v>
      </c>
      <c r="G16" s="18">
        <f t="shared" si="5"/>
        <v>2733.0550984060255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116724</v>
      </c>
      <c r="C17" s="22">
        <v>725674</v>
      </c>
      <c r="D17" s="22">
        <v>2056990486.940002</v>
      </c>
      <c r="E17" s="8">
        <f t="shared" si="3"/>
        <v>6.2170076419588085</v>
      </c>
      <c r="F17" s="18">
        <f t="shared" si="4"/>
        <v>17622.686739145352</v>
      </c>
      <c r="G17" s="18">
        <f t="shared" si="5"/>
        <v>2834.5930637448801</v>
      </c>
      <c r="H17" s="28"/>
    </row>
    <row r="18" spans="1:13" x14ac:dyDescent="0.35">
      <c r="A18" s="7">
        <v>45717</v>
      </c>
      <c r="B18" s="22">
        <v>120393</v>
      </c>
      <c r="C18" s="22">
        <v>738038</v>
      </c>
      <c r="D18" s="22">
        <v>2094038393.2399993</v>
      </c>
      <c r="E18" s="8">
        <f t="shared" si="3"/>
        <v>6.1302401302401304</v>
      </c>
      <c r="F18" s="18">
        <f t="shared" si="4"/>
        <v>17393.356700472614</v>
      </c>
      <c r="G18" s="18">
        <f t="shared" si="5"/>
        <v>2837.3043030846643</v>
      </c>
      <c r="H18" s="28"/>
    </row>
    <row r="19" spans="1:13" x14ac:dyDescent="0.35">
      <c r="A19" s="7">
        <v>45748</v>
      </c>
      <c r="B19" s="22">
        <v>121950</v>
      </c>
      <c r="C19" s="22">
        <v>747763</v>
      </c>
      <c r="D19" s="22">
        <v>2148396261</v>
      </c>
      <c r="E19" s="8">
        <f t="shared" si="3"/>
        <v>6.1317179171791718</v>
      </c>
      <c r="F19" s="18">
        <f t="shared" si="4"/>
        <v>17617.025510455103</v>
      </c>
      <c r="G19" s="18">
        <f t="shared" si="5"/>
        <v>2873.0978411609026</v>
      </c>
      <c r="H19" s="28"/>
    </row>
    <row r="20" spans="1:13" x14ac:dyDescent="0.35">
      <c r="A20" s="7">
        <v>45778</v>
      </c>
      <c r="B20" s="22">
        <v>122893</v>
      </c>
      <c r="C20" s="22">
        <v>751484</v>
      </c>
      <c r="D20" s="22">
        <v>2202067614</v>
      </c>
      <c r="E20" s="8">
        <f t="shared" si="3"/>
        <v>6.1149455217140112</v>
      </c>
      <c r="F20" s="18">
        <f t="shared" si="4"/>
        <v>17918.576436412164</v>
      </c>
      <c r="G20" s="18">
        <f t="shared" si="5"/>
        <v>2930.2920807362502</v>
      </c>
      <c r="H20" s="28"/>
    </row>
    <row r="21" spans="1:13" x14ac:dyDescent="0.35">
      <c r="A21" s="7">
        <v>45809</v>
      </c>
      <c r="B21" s="22">
        <v>124056</v>
      </c>
      <c r="C21" s="22">
        <v>764824</v>
      </c>
      <c r="D21" s="22">
        <v>2204119902</v>
      </c>
      <c r="E21" s="8">
        <f t="shared" si="3"/>
        <v>6.1651512220287614</v>
      </c>
      <c r="F21" s="18">
        <f t="shared" si="4"/>
        <v>17767.136631843685</v>
      </c>
      <c r="G21" s="18">
        <f t="shared" si="5"/>
        <v>2881.8655036975829</v>
      </c>
      <c r="H21" s="28"/>
    </row>
    <row r="22" spans="1:13" x14ac:dyDescent="0.35">
      <c r="A22" s="7">
        <v>45839</v>
      </c>
      <c r="B22" s="22">
        <v>126479</v>
      </c>
      <c r="C22" s="22">
        <v>780228</v>
      </c>
      <c r="D22" s="22">
        <v>2278644345</v>
      </c>
      <c r="E22" s="8">
        <f t="shared" si="3"/>
        <v>6.168834351947754</v>
      </c>
      <c r="F22" s="18">
        <f t="shared" si="4"/>
        <v>18015.989571391299</v>
      </c>
      <c r="G22" s="18">
        <f>F22/E22</f>
        <v>2920.4852235500393</v>
      </c>
      <c r="H22" s="28"/>
    </row>
    <row r="23" spans="1:13" x14ac:dyDescent="0.35">
      <c r="A23" s="7">
        <v>45870</v>
      </c>
      <c r="B23" s="22">
        <v>128369</v>
      </c>
      <c r="C23" s="22">
        <v>796803</v>
      </c>
      <c r="D23" s="22">
        <v>2343816248</v>
      </c>
      <c r="E23" s="8">
        <f t="shared" si="3"/>
        <v>6.2071294471406651</v>
      </c>
      <c r="F23" s="18">
        <f t="shared" si="4"/>
        <v>18258.428810694171</v>
      </c>
      <c r="G23" s="18">
        <f>F23/E23</f>
        <v>2941.5253808030343</v>
      </c>
    </row>
    <row r="24" spans="1:13" x14ac:dyDescent="0.35">
      <c r="A24" s="7">
        <v>45901</v>
      </c>
      <c r="B24" s="22">
        <v>131724</v>
      </c>
      <c r="C24" s="22">
        <v>807465</v>
      </c>
      <c r="D24" s="22">
        <v>2357934651</v>
      </c>
      <c r="E24" s="8">
        <f t="shared" ref="E24:E34" si="6">IFERROR(C24/B24,"")</f>
        <v>6.1299763141113237</v>
      </c>
      <c r="F24" s="18">
        <f t="shared" ref="F24:F34" si="7">IFERROR(D24/B24,"")</f>
        <v>17900.569759497132</v>
      </c>
      <c r="G24" s="18">
        <f t="shared" ref="G24:G29" si="8">IFERROR(F24/E24,"")</f>
        <v>2920.1694822685813</v>
      </c>
    </row>
    <row r="25" spans="1:13" x14ac:dyDescent="0.35">
      <c r="A25" s="7">
        <v>45931</v>
      </c>
      <c r="B25" s="22">
        <v>134485</v>
      </c>
      <c r="C25" s="22">
        <v>824416</v>
      </c>
      <c r="D25" s="22">
        <v>2388365828</v>
      </c>
      <c r="E25" s="8">
        <f t="shared" si="6"/>
        <v>6.1301706510019702</v>
      </c>
      <c r="F25" s="18">
        <f t="shared" si="7"/>
        <v>17759.347347287803</v>
      </c>
      <c r="G25" s="18">
        <f t="shared" si="8"/>
        <v>2897.0396353297369</v>
      </c>
    </row>
    <row r="26" spans="1:13" x14ac:dyDescent="0.35">
      <c r="A26" s="7">
        <v>45962</v>
      </c>
      <c r="B26" s="22">
        <v>136208</v>
      </c>
      <c r="C26" s="22">
        <v>830554</v>
      </c>
      <c r="D26" s="22">
        <v>2484025627</v>
      </c>
      <c r="E26" s="8">
        <f t="shared" si="6"/>
        <v>6.0976888288499937</v>
      </c>
      <c r="F26" s="18">
        <f t="shared" si="7"/>
        <v>18237.002430106895</v>
      </c>
      <c r="G26" s="18">
        <f t="shared" si="8"/>
        <v>2990.8056875290472</v>
      </c>
    </row>
    <row r="27" spans="1:13" ht="15" thickBot="1" x14ac:dyDescent="0.4">
      <c r="A27" s="9">
        <v>45992</v>
      </c>
      <c r="B27" s="23">
        <v>137576</v>
      </c>
      <c r="C27" s="23">
        <v>838617</v>
      </c>
      <c r="D27" s="23">
        <v>2509863635</v>
      </c>
      <c r="E27" s="10">
        <f t="shared" si="6"/>
        <v>6.0956634878176423</v>
      </c>
      <c r="F27" s="20">
        <f t="shared" si="7"/>
        <v>18243.470045647497</v>
      </c>
      <c r="G27" s="20">
        <f t="shared" si="8"/>
        <v>2992.8604297313318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106339</v>
      </c>
      <c r="C28" s="21">
        <v>640388</v>
      </c>
      <c r="D28" s="21">
        <v>1736151160</v>
      </c>
      <c r="E28" s="5">
        <f t="shared" si="6"/>
        <v>6.0221367513330009</v>
      </c>
      <c r="F28" s="18">
        <f t="shared" si="7"/>
        <v>16326.570308165396</v>
      </c>
      <c r="G28" s="18">
        <f t="shared" si="8"/>
        <v>2711.0925876187562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106532</v>
      </c>
      <c r="C29" s="22">
        <v>642433</v>
      </c>
      <c r="D29" s="22">
        <v>1758055670</v>
      </c>
      <c r="E29" s="8">
        <f t="shared" si="6"/>
        <v>6.0304227837645028</v>
      </c>
      <c r="F29" s="18">
        <f t="shared" si="7"/>
        <v>16502.606446889196</v>
      </c>
      <c r="G29" s="18">
        <f t="shared" si="8"/>
        <v>2736.5587851184478</v>
      </c>
      <c r="H29" s="28"/>
    </row>
    <row r="30" spans="1:13" x14ac:dyDescent="0.35">
      <c r="A30" s="7">
        <v>46082</v>
      </c>
      <c r="B30" s="22">
        <v>107386</v>
      </c>
      <c r="C30" s="22">
        <v>658226</v>
      </c>
      <c r="D30" s="22">
        <v>1826022598</v>
      </c>
      <c r="E30" s="8">
        <f t="shared" si="6"/>
        <v>6.1295327137615701</v>
      </c>
      <c r="F30" s="18">
        <f t="shared" si="7"/>
        <v>17004.289181085056</v>
      </c>
      <c r="G30" s="18">
        <f t="shared" ref="G30" si="9">IFERROR(F30/E30,"")</f>
        <v>2774.1575051729951</v>
      </c>
      <c r="H30" s="28"/>
    </row>
    <row r="31" spans="1:13" x14ac:dyDescent="0.35">
      <c r="A31" s="7">
        <v>46113</v>
      </c>
      <c r="B31" s="22">
        <v>109605</v>
      </c>
      <c r="C31" s="22">
        <v>671170</v>
      </c>
      <c r="D31" s="22">
        <v>1862748024</v>
      </c>
      <c r="E31" s="8">
        <f t="shared" si="6"/>
        <v>6.1235345102869392</v>
      </c>
      <c r="F31" s="18">
        <f t="shared" si="7"/>
        <v>16995.100807444916</v>
      </c>
      <c r="G31" s="18">
        <f t="shared" ref="G31" si="10">IFERROR(F31/E31,"")</f>
        <v>2775.3743820492573</v>
      </c>
      <c r="H31" s="28"/>
    </row>
    <row r="32" spans="1:13" x14ac:dyDescent="0.35">
      <c r="A32" s="7">
        <v>46143</v>
      </c>
      <c r="B32" s="22">
        <v>110151</v>
      </c>
      <c r="C32" s="22">
        <v>682595</v>
      </c>
      <c r="D32" s="22">
        <v>1952953988</v>
      </c>
      <c r="E32" s="8">
        <f t="shared" si="6"/>
        <v>6.1969024339316032</v>
      </c>
      <c r="F32" s="18">
        <f t="shared" si="7"/>
        <v>17729.788998738095</v>
      </c>
      <c r="G32" s="18">
        <f t="shared" ref="G32" si="11">IFERROR(F32/E32,"")</f>
        <v>2861.0728001230596</v>
      </c>
      <c r="H32" s="28"/>
    </row>
    <row r="33" spans="1:13" x14ac:dyDescent="0.35">
      <c r="A33" s="7">
        <v>46174</v>
      </c>
      <c r="B33" s="22">
        <v>119250</v>
      </c>
      <c r="C33" s="22">
        <v>731655</v>
      </c>
      <c r="D33" s="22">
        <v>2020262406</v>
      </c>
      <c r="E33" s="8">
        <f t="shared" si="6"/>
        <v>6.1354716981132071</v>
      </c>
      <c r="F33" s="18">
        <f t="shared" si="7"/>
        <v>16941.403823899371</v>
      </c>
      <c r="G33" s="18">
        <f t="shared" ref="G33" si="12">IFERROR(F33/E33,"")</f>
        <v>2761.2227156241674</v>
      </c>
      <c r="H33" s="28"/>
    </row>
    <row r="34" spans="1:13" x14ac:dyDescent="0.35">
      <c r="A34" s="7">
        <v>46204</v>
      </c>
      <c r="B34" s="22">
        <v>119241</v>
      </c>
      <c r="C34" s="22">
        <v>725710</v>
      </c>
      <c r="D34" s="22">
        <v>1974988462</v>
      </c>
      <c r="E34" s="8">
        <f t="shared" si="6"/>
        <v>6.0860777752618649</v>
      </c>
      <c r="F34" s="18">
        <f t="shared" si="7"/>
        <v>16562.998146610647</v>
      </c>
      <c r="G34" s="18">
        <f t="shared" ref="G34" si="13">IFERROR(F34/E34,"")</f>
        <v>2721.456865690152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B396-D541-4EC6-9113-820E0DCCC518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I32" sqref="I32"/>
    </sheetView>
  </sheetViews>
  <sheetFormatPr defaultColWidth="9.1796875" defaultRowHeight="14.5" x14ac:dyDescent="0.35"/>
  <cols>
    <col min="1" max="3" width="16.26953125" style="1" customWidth="1"/>
    <col min="4" max="4" width="18.45312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41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608354</v>
      </c>
      <c r="C4" s="21">
        <v>3955069</v>
      </c>
      <c r="D4" s="21">
        <v>9878544428.5699692</v>
      </c>
      <c r="E4" s="5">
        <f t="shared" ref="E4:E7" si="0">C4/B4</f>
        <v>6.5012624228656337</v>
      </c>
      <c r="F4" s="18">
        <f t="shared" ref="F4:F7" si="1">D4/B4</f>
        <v>16238.151517981256</v>
      </c>
      <c r="G4" s="18">
        <f t="shared" ref="G4:G9" si="2">F4/E4</f>
        <v>2497.6920576025273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618748</v>
      </c>
      <c r="C5" s="22">
        <v>4066849</v>
      </c>
      <c r="D5" s="22">
        <v>10341742950.079966</v>
      </c>
      <c r="E5" s="8">
        <f t="shared" si="0"/>
        <v>6.5727064976371636</v>
      </c>
      <c r="F5" s="18">
        <f t="shared" si="1"/>
        <v>16713.982025121641</v>
      </c>
      <c r="G5" s="18">
        <f t="shared" si="2"/>
        <v>2542.9375297877955</v>
      </c>
      <c r="H5" s="28"/>
    </row>
    <row r="6" spans="1:13" x14ac:dyDescent="0.35">
      <c r="A6" s="7">
        <v>45352</v>
      </c>
      <c r="B6" s="22">
        <v>627176</v>
      </c>
      <c r="C6" s="22">
        <v>4176248</v>
      </c>
      <c r="D6" s="22">
        <v>10825176111.389954</v>
      </c>
      <c r="E6" s="8">
        <f t="shared" si="0"/>
        <v>6.6588134750054211</v>
      </c>
      <c r="F6" s="18">
        <f t="shared" si="1"/>
        <v>17260.188705227803</v>
      </c>
      <c r="G6" s="18">
        <f t="shared" si="2"/>
        <v>2592.0817229699846</v>
      </c>
      <c r="H6" s="28"/>
    </row>
    <row r="7" spans="1:13" x14ac:dyDescent="0.35">
      <c r="A7" s="7">
        <v>45383</v>
      </c>
      <c r="B7" s="22">
        <v>632211</v>
      </c>
      <c r="C7" s="22">
        <v>4250078</v>
      </c>
      <c r="D7" s="22">
        <v>11311413548.609953</v>
      </c>
      <c r="E7" s="8">
        <f t="shared" si="0"/>
        <v>6.7225625621825627</v>
      </c>
      <c r="F7" s="18">
        <f t="shared" si="1"/>
        <v>17891.832866890883</v>
      </c>
      <c r="G7" s="18">
        <f t="shared" si="2"/>
        <v>2661.4602246382187</v>
      </c>
      <c r="H7" s="28"/>
    </row>
    <row r="8" spans="1:13" x14ac:dyDescent="0.35">
      <c r="A8" s="7">
        <v>45413</v>
      </c>
      <c r="B8" s="22">
        <v>627744</v>
      </c>
      <c r="C8" s="22">
        <v>4300172</v>
      </c>
      <c r="D8" s="22">
        <v>11853421027.649874</v>
      </c>
      <c r="E8" s="8">
        <f t="shared" ref="E8:E23" si="3">C8/B8</f>
        <v>6.8502000815619102</v>
      </c>
      <c r="F8" s="18">
        <f t="shared" ref="F8:F23" si="4">D8/B8</f>
        <v>18882.57160187891</v>
      </c>
      <c r="G8" s="18">
        <f t="shared" si="2"/>
        <v>2756.4992813426707</v>
      </c>
      <c r="H8" s="28"/>
    </row>
    <row r="9" spans="1:13" x14ac:dyDescent="0.35">
      <c r="A9" s="7">
        <v>45444</v>
      </c>
      <c r="B9" s="22">
        <v>617240</v>
      </c>
      <c r="C9" s="22">
        <v>4305552</v>
      </c>
      <c r="D9" s="22">
        <v>12166194902.540001</v>
      </c>
      <c r="E9" s="8">
        <f t="shared" si="3"/>
        <v>6.9754908949517205</v>
      </c>
      <c r="F9" s="18">
        <f t="shared" si="4"/>
        <v>19710.639139621544</v>
      </c>
      <c r="G9" s="18">
        <f t="shared" si="2"/>
        <v>2825.6992140705775</v>
      </c>
      <c r="H9" s="28"/>
    </row>
    <row r="10" spans="1:13" x14ac:dyDescent="0.35">
      <c r="A10" s="7">
        <v>45474</v>
      </c>
      <c r="B10" s="22">
        <v>611114</v>
      </c>
      <c r="C10" s="22">
        <v>4293878</v>
      </c>
      <c r="D10" s="22">
        <v>12275542022.110001</v>
      </c>
      <c r="E10" s="8">
        <f t="shared" si="3"/>
        <v>7.0263126028858771</v>
      </c>
      <c r="F10" s="18">
        <f t="shared" si="4"/>
        <v>20087.155624171595</v>
      </c>
      <c r="G10" s="18">
        <f t="shared" ref="G10:G21" si="5">F10/E10</f>
        <v>2858.8474153457551</v>
      </c>
      <c r="H10" s="28"/>
    </row>
    <row r="11" spans="1:13" x14ac:dyDescent="0.35">
      <c r="A11" s="7">
        <v>45505</v>
      </c>
      <c r="B11" s="22">
        <v>606911</v>
      </c>
      <c r="C11" s="22">
        <v>4320670</v>
      </c>
      <c r="D11" s="22">
        <v>12511909578.149979</v>
      </c>
      <c r="E11" s="8">
        <f t="shared" si="3"/>
        <v>7.1191163119468914</v>
      </c>
      <c r="F11" s="18">
        <f t="shared" si="4"/>
        <v>20615.723851025898</v>
      </c>
      <c r="G11" s="18">
        <f t="shared" si="5"/>
        <v>2895.826244112598</v>
      </c>
      <c r="H11" s="28"/>
    </row>
    <row r="12" spans="1:13" x14ac:dyDescent="0.35">
      <c r="A12" s="7">
        <v>45536</v>
      </c>
      <c r="B12" s="22">
        <v>610521</v>
      </c>
      <c r="C12" s="22">
        <v>4345724</v>
      </c>
      <c r="D12" s="22">
        <v>12745914010.999973</v>
      </c>
      <c r="E12" s="8">
        <f t="shared" si="3"/>
        <v>7.1180581830928009</v>
      </c>
      <c r="F12" s="18">
        <f t="shared" si="4"/>
        <v>20877.109896301641</v>
      </c>
      <c r="G12" s="18">
        <f t="shared" si="5"/>
        <v>2932.9782588585872</v>
      </c>
      <c r="H12" s="28"/>
    </row>
    <row r="13" spans="1:13" x14ac:dyDescent="0.35">
      <c r="A13" s="7">
        <v>45566</v>
      </c>
      <c r="B13" s="22">
        <v>618120</v>
      </c>
      <c r="C13" s="22">
        <v>4398705</v>
      </c>
      <c r="D13" s="22">
        <v>13108430014.769981</v>
      </c>
      <c r="E13" s="8">
        <f t="shared" si="3"/>
        <v>7.1162638322655791</v>
      </c>
      <c r="F13" s="18">
        <f t="shared" si="4"/>
        <v>21206.933952581992</v>
      </c>
      <c r="G13" s="18">
        <f t="shared" si="5"/>
        <v>2980.0657272469925</v>
      </c>
      <c r="H13" s="28"/>
    </row>
    <row r="14" spans="1:13" x14ac:dyDescent="0.35">
      <c r="A14" s="7">
        <v>45597</v>
      </c>
      <c r="B14" s="22">
        <v>623209</v>
      </c>
      <c r="C14" s="22">
        <v>4431313</v>
      </c>
      <c r="D14" s="22">
        <v>13174719271.889988</v>
      </c>
      <c r="E14" s="8">
        <f t="shared" si="3"/>
        <v>7.110476581692498</v>
      </c>
      <c r="F14" s="18">
        <f t="shared" si="4"/>
        <v>21140.129991527701</v>
      </c>
      <c r="G14" s="18">
        <f t="shared" si="5"/>
        <v>2973.0960715007013</v>
      </c>
      <c r="H14" s="28"/>
    </row>
    <row r="15" spans="1:13" ht="15" thickBot="1" x14ac:dyDescent="0.4">
      <c r="A15" s="9">
        <v>45627</v>
      </c>
      <c r="B15" s="23">
        <v>615468</v>
      </c>
      <c r="C15" s="23">
        <v>4375043</v>
      </c>
      <c r="D15" s="23">
        <v>12736322824.07999</v>
      </c>
      <c r="E15" s="10">
        <f t="shared" si="3"/>
        <v>7.1084816757329383</v>
      </c>
      <c r="F15" s="20">
        <f t="shared" si="4"/>
        <v>20693.72058999004</v>
      </c>
      <c r="G15" s="20">
        <f t="shared" si="5"/>
        <v>2911.1308903889608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634569</v>
      </c>
      <c r="C16" s="21">
        <v>4460872</v>
      </c>
      <c r="D16" s="21">
        <v>13226610715.779993</v>
      </c>
      <c r="E16" s="5">
        <f t="shared" si="3"/>
        <v>7.0297666605207629</v>
      </c>
      <c r="F16" s="18">
        <f t="shared" si="4"/>
        <v>20843.455504098045</v>
      </c>
      <c r="G16" s="18">
        <f t="shared" si="5"/>
        <v>2965.0280742823361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648864</v>
      </c>
      <c r="C17" s="22">
        <v>4589753</v>
      </c>
      <c r="D17" s="22">
        <v>13971377121.380011</v>
      </c>
      <c r="E17" s="8">
        <f t="shared" si="3"/>
        <v>7.0735207994279232</v>
      </c>
      <c r="F17" s="18">
        <f t="shared" si="4"/>
        <v>21532.057752287092</v>
      </c>
      <c r="G17" s="18">
        <f t="shared" si="5"/>
        <v>3044.0368188397092</v>
      </c>
      <c r="H17" s="28"/>
    </row>
    <row r="18" spans="1:13" x14ac:dyDescent="0.35">
      <c r="A18" s="7">
        <v>45717</v>
      </c>
      <c r="B18" s="22">
        <v>664037</v>
      </c>
      <c r="C18" s="22">
        <v>4679411</v>
      </c>
      <c r="D18" s="22">
        <v>14435591761.439999</v>
      </c>
      <c r="E18" s="8">
        <f t="shared" si="3"/>
        <v>7.0469130485198868</v>
      </c>
      <c r="F18" s="18">
        <f t="shared" si="4"/>
        <v>21739.137670702083</v>
      </c>
      <c r="G18" s="18">
        <f t="shared" si="5"/>
        <v>3084.9164053852073</v>
      </c>
      <c r="H18" s="28"/>
    </row>
    <row r="19" spans="1:13" x14ac:dyDescent="0.35">
      <c r="A19" s="7">
        <v>45748</v>
      </c>
      <c r="B19" s="22">
        <v>681509</v>
      </c>
      <c r="C19" s="22">
        <v>4772030</v>
      </c>
      <c r="D19" s="22">
        <v>14935848520</v>
      </c>
      <c r="E19" s="8">
        <f t="shared" si="3"/>
        <v>7.0021525761215182</v>
      </c>
      <c r="F19" s="18">
        <f t="shared" si="4"/>
        <v>21915.849269782204</v>
      </c>
      <c r="G19" s="18">
        <f t="shared" si="5"/>
        <v>3129.8731399425405</v>
      </c>
      <c r="H19" s="28"/>
    </row>
    <row r="20" spans="1:13" x14ac:dyDescent="0.35">
      <c r="A20" s="7">
        <v>45778</v>
      </c>
      <c r="B20" s="22">
        <v>701736</v>
      </c>
      <c r="C20" s="22">
        <v>4887928</v>
      </c>
      <c r="D20" s="22">
        <v>15498219153</v>
      </c>
      <c r="E20" s="8">
        <f t="shared" si="3"/>
        <v>6.9654798955732637</v>
      </c>
      <c r="F20" s="18">
        <f t="shared" si="4"/>
        <v>22085.540934197477</v>
      </c>
      <c r="G20" s="18">
        <f t="shared" si="5"/>
        <v>3170.7134706157703</v>
      </c>
      <c r="H20" s="28"/>
    </row>
    <row r="21" spans="1:13" x14ac:dyDescent="0.35">
      <c r="A21" s="7">
        <v>45809</v>
      </c>
      <c r="B21" s="22">
        <v>716198</v>
      </c>
      <c r="C21" s="22">
        <v>5012518</v>
      </c>
      <c r="D21" s="22">
        <v>16175239510</v>
      </c>
      <c r="E21" s="8">
        <f t="shared" si="3"/>
        <v>6.9987880446468713</v>
      </c>
      <c r="F21" s="18">
        <f t="shared" si="4"/>
        <v>22584.871097098847</v>
      </c>
      <c r="G21" s="18">
        <f t="shared" si="5"/>
        <v>3226.9688627552059</v>
      </c>
      <c r="H21" s="28"/>
    </row>
    <row r="22" spans="1:13" x14ac:dyDescent="0.35">
      <c r="A22" s="7">
        <v>45839</v>
      </c>
      <c r="B22" s="22">
        <v>735248</v>
      </c>
      <c r="C22" s="22">
        <v>5114802</v>
      </c>
      <c r="D22" s="22">
        <v>16648221522</v>
      </c>
      <c r="E22" s="8">
        <f t="shared" si="3"/>
        <v>6.9565670358844907</v>
      </c>
      <c r="F22" s="18">
        <f t="shared" si="4"/>
        <v>22643.001438970252</v>
      </c>
      <c r="G22" s="18">
        <f>F22/E22</f>
        <v>3254.9102628019618</v>
      </c>
      <c r="H22" s="28"/>
    </row>
    <row r="23" spans="1:13" x14ac:dyDescent="0.35">
      <c r="A23" s="7">
        <v>45870</v>
      </c>
      <c r="B23" s="22">
        <v>749867</v>
      </c>
      <c r="C23" s="22">
        <v>5224094</v>
      </c>
      <c r="D23" s="22">
        <v>17228047682</v>
      </c>
      <c r="E23" s="8">
        <f t="shared" si="3"/>
        <v>6.9666940937526256</v>
      </c>
      <c r="F23" s="18">
        <f t="shared" si="4"/>
        <v>22974.804441320928</v>
      </c>
      <c r="G23" s="18">
        <f>F23/E23</f>
        <v>3297.8058361890121</v>
      </c>
    </row>
    <row r="24" spans="1:13" x14ac:dyDescent="0.35">
      <c r="A24" s="7">
        <v>45901</v>
      </c>
      <c r="B24" s="22">
        <v>780316</v>
      </c>
      <c r="C24" s="22">
        <v>5303394</v>
      </c>
      <c r="D24" s="22">
        <v>17427244876</v>
      </c>
      <c r="E24" s="8">
        <f t="shared" ref="E24:E34" si="6">IFERROR(C24/B24,"")</f>
        <v>6.7964696353784877</v>
      </c>
      <c r="F24" s="18">
        <f t="shared" ref="F24:F34" si="7">IFERROR(D24/B24,"")</f>
        <v>22333.57367528027</v>
      </c>
      <c r="G24" s="18">
        <f t="shared" ref="G24:G29" si="8">IFERROR(F24/E24,"")</f>
        <v>3286.055095284265</v>
      </c>
    </row>
    <row r="25" spans="1:13" x14ac:dyDescent="0.35">
      <c r="A25" s="7">
        <v>45931</v>
      </c>
      <c r="B25" s="22">
        <v>813406</v>
      </c>
      <c r="C25" s="22">
        <v>5415621</v>
      </c>
      <c r="D25" s="22">
        <v>17704388849</v>
      </c>
      <c r="E25" s="8">
        <f t="shared" si="6"/>
        <v>6.6579555597081903</v>
      </c>
      <c r="F25" s="18">
        <f t="shared" si="7"/>
        <v>21765.746563216893</v>
      </c>
      <c r="G25" s="18">
        <f t="shared" si="8"/>
        <v>3269.1336504160831</v>
      </c>
    </row>
    <row r="26" spans="1:13" x14ac:dyDescent="0.35">
      <c r="A26" s="7">
        <v>45962</v>
      </c>
      <c r="B26" s="22">
        <v>836320</v>
      </c>
      <c r="C26" s="22">
        <v>5523571</v>
      </c>
      <c r="D26" s="22">
        <v>18274214119</v>
      </c>
      <c r="E26" s="8">
        <f t="shared" si="6"/>
        <v>6.6046142624832598</v>
      </c>
      <c r="F26" s="18">
        <f t="shared" si="7"/>
        <v>21850.743876745742</v>
      </c>
      <c r="G26" s="18">
        <f t="shared" si="8"/>
        <v>3308.4057612367073</v>
      </c>
    </row>
    <row r="27" spans="1:13" ht="15" thickBot="1" x14ac:dyDescent="0.4">
      <c r="A27" s="9">
        <v>45992</v>
      </c>
      <c r="B27" s="23">
        <v>847314</v>
      </c>
      <c r="C27" s="23">
        <v>5594547</v>
      </c>
      <c r="D27" s="23">
        <v>18552661407</v>
      </c>
      <c r="E27" s="10">
        <f t="shared" si="6"/>
        <v>6.6026844829661728</v>
      </c>
      <c r="F27" s="20">
        <f t="shared" si="7"/>
        <v>21895.851369150045</v>
      </c>
      <c r="G27" s="20">
        <f t="shared" si="8"/>
        <v>3316.2044052896513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856008</v>
      </c>
      <c r="C28" s="21">
        <v>5650453</v>
      </c>
      <c r="D28" s="21">
        <v>18864757888</v>
      </c>
      <c r="E28" s="5">
        <f t="shared" si="6"/>
        <v>6.6009348043476228</v>
      </c>
      <c r="F28" s="18">
        <f t="shared" si="7"/>
        <v>22038.062597545817</v>
      </c>
      <c r="G28" s="18">
        <f t="shared" si="8"/>
        <v>3338.6275203067789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866050</v>
      </c>
      <c r="C29" s="22">
        <v>5721434</v>
      </c>
      <c r="D29" s="22">
        <v>19175503599</v>
      </c>
      <c r="E29" s="8">
        <f t="shared" si="6"/>
        <v>6.6063552912649381</v>
      </c>
      <c r="F29" s="18">
        <f t="shared" si="7"/>
        <v>22141.335487558455</v>
      </c>
      <c r="G29" s="18">
        <f t="shared" si="8"/>
        <v>3351.5205451989837</v>
      </c>
      <c r="H29" s="28"/>
    </row>
    <row r="30" spans="1:13" x14ac:dyDescent="0.35">
      <c r="A30" s="7">
        <v>46082</v>
      </c>
      <c r="B30" s="22">
        <v>873579</v>
      </c>
      <c r="C30" s="22">
        <v>5858794</v>
      </c>
      <c r="D30" s="22">
        <v>19996634127</v>
      </c>
      <c r="E30" s="8">
        <f t="shared" si="6"/>
        <v>6.7066561810666236</v>
      </c>
      <c r="F30" s="18">
        <f t="shared" si="7"/>
        <v>22890.470268859484</v>
      </c>
      <c r="G30" s="18">
        <f t="shared" ref="G30" si="9">IFERROR(F30/E30,"")</f>
        <v>3413.0973246371182</v>
      </c>
      <c r="H30" s="28"/>
    </row>
    <row r="31" spans="1:13" x14ac:dyDescent="0.35">
      <c r="A31" s="7">
        <v>46113</v>
      </c>
      <c r="B31" s="22">
        <v>881652</v>
      </c>
      <c r="C31" s="22">
        <v>6003194</v>
      </c>
      <c r="D31" s="22">
        <v>20806652028</v>
      </c>
      <c r="E31" s="8">
        <f t="shared" si="6"/>
        <v>6.8090289592719122</v>
      </c>
      <c r="F31" s="18">
        <f t="shared" si="7"/>
        <v>23599.619836398033</v>
      </c>
      <c r="G31" s="18">
        <f t="shared" ref="G31" si="10">IFERROR(F31/E31,"")</f>
        <v>3465.9303077661657</v>
      </c>
      <c r="H31" s="28"/>
    </row>
    <row r="32" spans="1:13" x14ac:dyDescent="0.35">
      <c r="A32" s="7">
        <v>46143</v>
      </c>
      <c r="B32" s="22">
        <v>887261</v>
      </c>
      <c r="C32" s="22">
        <v>6177354</v>
      </c>
      <c r="D32" s="22">
        <v>21691102762</v>
      </c>
      <c r="E32" s="8">
        <f t="shared" si="6"/>
        <v>6.9622737841514502</v>
      </c>
      <c r="F32" s="18">
        <f t="shared" si="7"/>
        <v>24447.262713001022</v>
      </c>
      <c r="G32" s="18">
        <f t="shared" ref="G32" si="11">IFERROR(F32/E32,"")</f>
        <v>3511.3905989522377</v>
      </c>
      <c r="H32" s="28"/>
    </row>
    <row r="33" spans="1:13" x14ac:dyDescent="0.35">
      <c r="A33" s="7">
        <v>46174</v>
      </c>
      <c r="B33" s="22">
        <v>907558</v>
      </c>
      <c r="C33" s="22">
        <v>6323710</v>
      </c>
      <c r="D33" s="22">
        <v>22047698299</v>
      </c>
      <c r="E33" s="8">
        <f t="shared" si="6"/>
        <v>6.9678301552077109</v>
      </c>
      <c r="F33" s="18">
        <f t="shared" si="7"/>
        <v>24293.431713455229</v>
      </c>
      <c r="G33" s="18">
        <f t="shared" ref="G33" si="12">IFERROR(F33/E33,"")</f>
        <v>3486.5131859304115</v>
      </c>
      <c r="H33" s="28"/>
    </row>
    <row r="34" spans="1:13" x14ac:dyDescent="0.35">
      <c r="A34" s="7">
        <v>46204</v>
      </c>
      <c r="B34" s="22">
        <v>915410</v>
      </c>
      <c r="C34" s="22">
        <v>6443860</v>
      </c>
      <c r="D34" s="22">
        <v>22804126403</v>
      </c>
      <c r="E34" s="8">
        <f t="shared" si="6"/>
        <v>7.0393157164549223</v>
      </c>
      <c r="F34" s="18">
        <f t="shared" si="7"/>
        <v>24911.38004063753</v>
      </c>
      <c r="G34" s="18">
        <f t="shared" ref="G34" si="13">IFERROR(F34/E34,"")</f>
        <v>3538.8922793170555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DDD2-EABA-48D3-BD33-C51DF9CCEDDE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M32" sqref="M32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42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82394</v>
      </c>
      <c r="C4" s="21">
        <v>631828</v>
      </c>
      <c r="D4" s="21">
        <v>1619315424.6599998</v>
      </c>
      <c r="E4" s="5">
        <f t="shared" ref="E4:E7" si="0">C4/B4</f>
        <v>7.6683739107216544</v>
      </c>
      <c r="F4" s="18">
        <f t="shared" ref="F4:F7" si="1">D4/B4</f>
        <v>19653.317288394785</v>
      </c>
      <c r="G4" s="18">
        <f t="shared" ref="G4:G9" si="2">F4/E4</f>
        <v>2562.9054499958847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82490</v>
      </c>
      <c r="C5" s="22">
        <v>638506</v>
      </c>
      <c r="D5" s="22">
        <v>1659060463.2600002</v>
      </c>
      <c r="E5" s="8">
        <f t="shared" si="0"/>
        <v>7.7404048975633408</v>
      </c>
      <c r="F5" s="18">
        <f t="shared" si="1"/>
        <v>20112.261646987517</v>
      </c>
      <c r="G5" s="18">
        <f t="shared" si="2"/>
        <v>2598.3474912686811</v>
      </c>
      <c r="H5" s="28"/>
    </row>
    <row r="6" spans="1:13" x14ac:dyDescent="0.35">
      <c r="A6" s="7">
        <v>45352</v>
      </c>
      <c r="B6" s="22">
        <v>83241</v>
      </c>
      <c r="C6" s="22">
        <v>653205</v>
      </c>
      <c r="D6" s="22">
        <v>1721775053.1400003</v>
      </c>
      <c r="E6" s="8">
        <f t="shared" si="0"/>
        <v>7.8471546473492628</v>
      </c>
      <c r="F6" s="18">
        <f t="shared" si="1"/>
        <v>20684.218752057284</v>
      </c>
      <c r="G6" s="18">
        <f t="shared" si="2"/>
        <v>2635.8877429597146</v>
      </c>
      <c r="H6" s="28"/>
    </row>
    <row r="7" spans="1:13" x14ac:dyDescent="0.35">
      <c r="A7" s="7">
        <v>45383</v>
      </c>
      <c r="B7" s="22">
        <v>84122</v>
      </c>
      <c r="C7" s="22">
        <v>667464</v>
      </c>
      <c r="D7" s="22">
        <v>1801672187.0700006</v>
      </c>
      <c r="E7" s="8">
        <f t="shared" si="0"/>
        <v>7.9344761180190675</v>
      </c>
      <c r="F7" s="18">
        <f t="shared" si="1"/>
        <v>21417.372234017268</v>
      </c>
      <c r="G7" s="18">
        <f t="shared" si="2"/>
        <v>2699.2799417946144</v>
      </c>
      <c r="H7" s="28"/>
    </row>
    <row r="8" spans="1:13" x14ac:dyDescent="0.35">
      <c r="A8" s="7">
        <v>45413</v>
      </c>
      <c r="B8" s="22">
        <v>84798</v>
      </c>
      <c r="C8" s="22">
        <v>683623</v>
      </c>
      <c r="D8" s="22">
        <v>1899849285.900002</v>
      </c>
      <c r="E8" s="8">
        <f t="shared" ref="E8:E23" si="3">C8/B8</f>
        <v>8.0617821175027711</v>
      </c>
      <c r="F8" s="18">
        <f t="shared" ref="F8:F23" si="4">D8/B8</f>
        <v>22404.41149437489</v>
      </c>
      <c r="G8" s="18">
        <f t="shared" si="2"/>
        <v>2779.0891849747622</v>
      </c>
      <c r="H8" s="28"/>
    </row>
    <row r="9" spans="1:13" x14ac:dyDescent="0.35">
      <c r="A9" s="7">
        <v>45444</v>
      </c>
      <c r="B9" s="22">
        <v>85394</v>
      </c>
      <c r="C9" s="22">
        <v>695040</v>
      </c>
      <c r="D9" s="22">
        <v>1961292759.76</v>
      </c>
      <c r="E9" s="8">
        <f t="shared" si="3"/>
        <v>8.1392135278825215</v>
      </c>
      <c r="F9" s="18">
        <f t="shared" si="4"/>
        <v>22967.571020914816</v>
      </c>
      <c r="G9" s="18">
        <f t="shared" si="2"/>
        <v>2821.841562730202</v>
      </c>
      <c r="H9" s="28"/>
    </row>
    <row r="10" spans="1:13" x14ac:dyDescent="0.35">
      <c r="A10" s="7">
        <v>45474</v>
      </c>
      <c r="B10" s="22">
        <v>85100</v>
      </c>
      <c r="C10" s="22">
        <v>700487</v>
      </c>
      <c r="D10" s="22">
        <v>1999173294.0999999</v>
      </c>
      <c r="E10" s="8">
        <f t="shared" si="3"/>
        <v>8.2313396004700348</v>
      </c>
      <c r="F10" s="18">
        <f t="shared" si="4"/>
        <v>23492.048109283194</v>
      </c>
      <c r="G10" s="18">
        <f t="shared" ref="G10:G21" si="5">F10/E10</f>
        <v>2853.9762966336275</v>
      </c>
      <c r="H10" s="28"/>
    </row>
    <row r="11" spans="1:13" x14ac:dyDescent="0.35">
      <c r="A11" s="7">
        <v>45505</v>
      </c>
      <c r="B11" s="22">
        <v>84932</v>
      </c>
      <c r="C11" s="22">
        <v>705407</v>
      </c>
      <c r="D11" s="22">
        <v>2018171620.4699998</v>
      </c>
      <c r="E11" s="8">
        <f t="shared" si="3"/>
        <v>8.3055503226110297</v>
      </c>
      <c r="F11" s="18">
        <f t="shared" si="4"/>
        <v>23762.205299180518</v>
      </c>
      <c r="G11" s="18">
        <f t="shared" si="5"/>
        <v>2861.0031095098288</v>
      </c>
      <c r="H11" s="28"/>
    </row>
    <row r="12" spans="1:13" x14ac:dyDescent="0.35">
      <c r="A12" s="7">
        <v>45536</v>
      </c>
      <c r="B12" s="22">
        <v>85492</v>
      </c>
      <c r="C12" s="22">
        <v>712336</v>
      </c>
      <c r="D12" s="22">
        <v>2059328828.2100015</v>
      </c>
      <c r="E12" s="8">
        <f t="shared" si="3"/>
        <v>8.3321948252468072</v>
      </c>
      <c r="F12" s="18">
        <f t="shared" si="4"/>
        <v>24087.971134258194</v>
      </c>
      <c r="G12" s="18">
        <f t="shared" si="5"/>
        <v>2890.951500710341</v>
      </c>
      <c r="H12" s="28"/>
    </row>
    <row r="13" spans="1:13" x14ac:dyDescent="0.35">
      <c r="A13" s="7">
        <v>45566</v>
      </c>
      <c r="B13" s="22">
        <v>86504</v>
      </c>
      <c r="C13" s="22">
        <v>725740</v>
      </c>
      <c r="D13" s="22">
        <v>2135261231.9000006</v>
      </c>
      <c r="E13" s="8">
        <f t="shared" si="3"/>
        <v>8.3896698418570246</v>
      </c>
      <c r="F13" s="18">
        <f t="shared" si="4"/>
        <v>24683.959492046619</v>
      </c>
      <c r="G13" s="18">
        <f t="shared" si="5"/>
        <v>2942.1848484305683</v>
      </c>
      <c r="H13" s="28"/>
    </row>
    <row r="14" spans="1:13" x14ac:dyDescent="0.35">
      <c r="A14" s="7">
        <v>45597</v>
      </c>
      <c r="B14" s="22">
        <v>86579</v>
      </c>
      <c r="C14" s="22">
        <v>729483</v>
      </c>
      <c r="D14" s="22">
        <v>2150864900.2600007</v>
      </c>
      <c r="E14" s="8">
        <f t="shared" si="3"/>
        <v>8.4256343917116165</v>
      </c>
      <c r="F14" s="18">
        <f t="shared" si="4"/>
        <v>24842.801375160267</v>
      </c>
      <c r="G14" s="18">
        <f t="shared" si="5"/>
        <v>2948.478443308481</v>
      </c>
      <c r="H14" s="28"/>
    </row>
    <row r="15" spans="1:13" ht="15" thickBot="1" x14ac:dyDescent="0.4">
      <c r="A15" s="9">
        <v>45627</v>
      </c>
      <c r="B15" s="23">
        <v>85761</v>
      </c>
      <c r="C15" s="23">
        <v>722120</v>
      </c>
      <c r="D15" s="23">
        <v>2076252319.4499993</v>
      </c>
      <c r="E15" s="10">
        <f t="shared" si="3"/>
        <v>8.4201443546600441</v>
      </c>
      <c r="F15" s="20">
        <f t="shared" si="4"/>
        <v>24209.749413486308</v>
      </c>
      <c r="G15" s="20">
        <f t="shared" si="5"/>
        <v>2875.2178577660211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89484</v>
      </c>
      <c r="C16" s="21">
        <v>737723</v>
      </c>
      <c r="D16" s="21">
        <v>2165705876.2899995</v>
      </c>
      <c r="E16" s="5">
        <f t="shared" si="3"/>
        <v>8.2441889052791559</v>
      </c>
      <c r="F16" s="18">
        <f t="shared" si="4"/>
        <v>24202.157662710648</v>
      </c>
      <c r="G16" s="18">
        <f t="shared" si="5"/>
        <v>2935.6626759501869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92241</v>
      </c>
      <c r="C17" s="22">
        <v>775150</v>
      </c>
      <c r="D17" s="22">
        <v>2377306899.2999997</v>
      </c>
      <c r="E17" s="8">
        <f t="shared" si="3"/>
        <v>8.4035298836742882</v>
      </c>
      <c r="F17" s="18">
        <f t="shared" si="4"/>
        <v>25772.778908511398</v>
      </c>
      <c r="G17" s="18">
        <f t="shared" si="5"/>
        <v>3066.899179900664</v>
      </c>
      <c r="H17" s="28"/>
    </row>
    <row r="18" spans="1:13" x14ac:dyDescent="0.35">
      <c r="A18" s="7">
        <v>45717</v>
      </c>
      <c r="B18" s="22">
        <v>94860</v>
      </c>
      <c r="C18" s="22">
        <v>796111</v>
      </c>
      <c r="D18" s="22">
        <v>2472448232.7800002</v>
      </c>
      <c r="E18" s="8">
        <f t="shared" si="3"/>
        <v>8.3924836601307184</v>
      </c>
      <c r="F18" s="18">
        <f t="shared" si="4"/>
        <v>26064.181243727602</v>
      </c>
      <c r="G18" s="18">
        <f t="shared" si="5"/>
        <v>3105.6576693199822</v>
      </c>
      <c r="H18" s="28"/>
    </row>
    <row r="19" spans="1:13" x14ac:dyDescent="0.35">
      <c r="A19" s="7">
        <v>45748</v>
      </c>
      <c r="B19" s="22">
        <v>91934</v>
      </c>
      <c r="C19" s="22">
        <v>760900</v>
      </c>
      <c r="D19" s="22">
        <v>2402307329</v>
      </c>
      <c r="E19" s="8">
        <f t="shared" si="3"/>
        <v>8.2765897274131444</v>
      </c>
      <c r="F19" s="18">
        <f t="shared" si="4"/>
        <v>26130.782180694845</v>
      </c>
      <c r="G19" s="18">
        <f t="shared" si="5"/>
        <v>3157.1919161519249</v>
      </c>
      <c r="H19" s="28"/>
    </row>
    <row r="20" spans="1:13" x14ac:dyDescent="0.35">
      <c r="A20" s="7">
        <v>45778</v>
      </c>
      <c r="B20" s="22">
        <v>102888</v>
      </c>
      <c r="C20" s="22">
        <v>834850</v>
      </c>
      <c r="D20" s="22">
        <v>2638806281</v>
      </c>
      <c r="E20" s="8">
        <f t="shared" si="3"/>
        <v>8.1141629733302238</v>
      </c>
      <c r="F20" s="18">
        <f t="shared" si="4"/>
        <v>25647.366855221211</v>
      </c>
      <c r="G20" s="18">
        <f t="shared" si="5"/>
        <v>3160.8148541654186</v>
      </c>
      <c r="H20" s="28"/>
    </row>
    <row r="21" spans="1:13" x14ac:dyDescent="0.35">
      <c r="A21" s="7">
        <v>45809</v>
      </c>
      <c r="B21" s="22">
        <v>105453</v>
      </c>
      <c r="C21" s="22">
        <v>860140</v>
      </c>
      <c r="D21" s="22">
        <v>2751356495</v>
      </c>
      <c r="E21" s="8">
        <f t="shared" si="3"/>
        <v>8.1566195366656231</v>
      </c>
      <c r="F21" s="18">
        <f t="shared" si="4"/>
        <v>26090.831887191449</v>
      </c>
      <c r="G21" s="18">
        <f t="shared" si="5"/>
        <v>3198.7310147185344</v>
      </c>
      <c r="H21" s="28"/>
    </row>
    <row r="22" spans="1:13" x14ac:dyDescent="0.35">
      <c r="A22" s="7">
        <v>45839</v>
      </c>
      <c r="B22" s="22">
        <v>108667</v>
      </c>
      <c r="C22" s="22">
        <v>874582</v>
      </c>
      <c r="D22" s="22">
        <v>2821270640</v>
      </c>
      <c r="E22" s="8">
        <f t="shared" si="3"/>
        <v>8.0482759255339715</v>
      </c>
      <c r="F22" s="18">
        <f t="shared" si="4"/>
        <v>25962.533611860086</v>
      </c>
      <c r="G22" s="18">
        <f>F22/E22</f>
        <v>3225.8503376470126</v>
      </c>
      <c r="H22" s="28"/>
    </row>
    <row r="23" spans="1:13" x14ac:dyDescent="0.35">
      <c r="A23" s="7">
        <v>45870</v>
      </c>
      <c r="B23" s="22">
        <v>111215</v>
      </c>
      <c r="C23" s="22">
        <v>907729</v>
      </c>
      <c r="D23" s="22">
        <v>2972351661</v>
      </c>
      <c r="E23" s="8">
        <f t="shared" si="3"/>
        <v>8.1619295958279015</v>
      </c>
      <c r="F23" s="18">
        <f t="shared" si="4"/>
        <v>26726.175974463877</v>
      </c>
      <c r="G23" s="18">
        <f>F23/E23</f>
        <v>3274.492344080667</v>
      </c>
    </row>
    <row r="24" spans="1:13" x14ac:dyDescent="0.35">
      <c r="A24" s="7">
        <v>45901</v>
      </c>
      <c r="B24" s="22">
        <v>115831</v>
      </c>
      <c r="C24" s="22">
        <v>917472</v>
      </c>
      <c r="D24" s="22">
        <v>2987944339</v>
      </c>
      <c r="E24" s="8">
        <f t="shared" ref="E24:E34" si="6">IFERROR(C24/B24,"")</f>
        <v>7.920781138037313</v>
      </c>
      <c r="F24" s="18">
        <f t="shared" ref="F24:F34" si="7">IFERROR(D24/B24,"")</f>
        <v>25795.722552684514</v>
      </c>
      <c r="G24" s="18">
        <f t="shared" ref="G24:G29" si="8">IFERROR(F24/E24,"")</f>
        <v>3256.7144708503365</v>
      </c>
    </row>
    <row r="25" spans="1:13" x14ac:dyDescent="0.35">
      <c r="A25" s="7">
        <v>45931</v>
      </c>
      <c r="B25" s="22">
        <v>119836</v>
      </c>
      <c r="C25" s="22">
        <v>931477</v>
      </c>
      <c r="D25" s="22">
        <v>3046266201</v>
      </c>
      <c r="E25" s="8">
        <f t="shared" si="6"/>
        <v>7.7729313394973127</v>
      </c>
      <c r="F25" s="18">
        <f t="shared" si="7"/>
        <v>25420.292741747053</v>
      </c>
      <c r="G25" s="18">
        <f t="shared" si="8"/>
        <v>3270.3611586759521</v>
      </c>
    </row>
    <row r="26" spans="1:13" x14ac:dyDescent="0.35">
      <c r="A26" s="7">
        <v>45962</v>
      </c>
      <c r="B26" s="22">
        <v>124038</v>
      </c>
      <c r="C26" s="22">
        <v>953768</v>
      </c>
      <c r="D26" s="22">
        <v>3189080112</v>
      </c>
      <c r="E26" s="8">
        <f t="shared" si="6"/>
        <v>7.6893210145278061</v>
      </c>
      <c r="F26" s="18">
        <f t="shared" si="7"/>
        <v>25710.508973056643</v>
      </c>
      <c r="G26" s="18">
        <f t="shared" si="8"/>
        <v>3343.6644047609061</v>
      </c>
    </row>
    <row r="27" spans="1:13" ht="15" thickBot="1" x14ac:dyDescent="0.4">
      <c r="A27" s="9">
        <v>45992</v>
      </c>
      <c r="B27" s="23">
        <v>125771</v>
      </c>
      <c r="C27" s="23">
        <v>964245</v>
      </c>
      <c r="D27" s="23">
        <v>3227363691</v>
      </c>
      <c r="E27" s="10">
        <f t="shared" si="6"/>
        <v>7.6666719673056587</v>
      </c>
      <c r="F27" s="20">
        <f t="shared" si="7"/>
        <v>25660.634732967061</v>
      </c>
      <c r="G27" s="20">
        <f t="shared" si="8"/>
        <v>3347.036998895509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127516</v>
      </c>
      <c r="C28" s="21">
        <v>977014</v>
      </c>
      <c r="D28" s="21">
        <v>3284988193</v>
      </c>
      <c r="E28" s="5">
        <f t="shared" si="6"/>
        <v>7.6618934094544997</v>
      </c>
      <c r="F28" s="18">
        <f t="shared" si="7"/>
        <v>25761.380477743969</v>
      </c>
      <c r="G28" s="18">
        <f t="shared" si="8"/>
        <v>3362.2734095929027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129407</v>
      </c>
      <c r="C29" s="22">
        <v>989870</v>
      </c>
      <c r="D29" s="22">
        <v>3355018843</v>
      </c>
      <c r="E29" s="8">
        <f t="shared" si="6"/>
        <v>7.649277087020022</v>
      </c>
      <c r="F29" s="18">
        <f t="shared" si="7"/>
        <v>25926.100156869412</v>
      </c>
      <c r="G29" s="18">
        <f t="shared" si="8"/>
        <v>3389.3529887763038</v>
      </c>
      <c r="H29" s="28"/>
    </row>
    <row r="30" spans="1:13" x14ac:dyDescent="0.35">
      <c r="A30" s="7">
        <v>46082</v>
      </c>
      <c r="B30" s="22">
        <v>130912</v>
      </c>
      <c r="C30" s="22">
        <v>1020995</v>
      </c>
      <c r="D30" s="22">
        <v>3532201626</v>
      </c>
      <c r="E30" s="8">
        <f t="shared" si="6"/>
        <v>7.7990940479100468</v>
      </c>
      <c r="F30" s="18">
        <f t="shared" si="7"/>
        <v>26981.496165362991</v>
      </c>
      <c r="G30" s="18">
        <f t="shared" ref="G30" si="9">IFERROR(F30/E30,"")</f>
        <v>3459.5679959255431</v>
      </c>
      <c r="H30" s="28"/>
    </row>
    <row r="31" spans="1:13" x14ac:dyDescent="0.35">
      <c r="A31" s="7">
        <v>46113</v>
      </c>
      <c r="B31" s="22">
        <v>132360</v>
      </c>
      <c r="C31" s="22">
        <v>1057448</v>
      </c>
      <c r="D31" s="22">
        <v>3716035848</v>
      </c>
      <c r="E31" s="8">
        <f t="shared" si="6"/>
        <v>7.9891810214566332</v>
      </c>
      <c r="F31" s="18">
        <f t="shared" si="7"/>
        <v>28075.21795104261</v>
      </c>
      <c r="G31" s="18">
        <f t="shared" ref="G31" si="10">IFERROR(F31/E31,"")</f>
        <v>3514.1546894031667</v>
      </c>
      <c r="H31" s="28"/>
    </row>
    <row r="32" spans="1:13" x14ac:dyDescent="0.35">
      <c r="A32" s="7">
        <v>46143</v>
      </c>
      <c r="B32" s="22">
        <v>133849</v>
      </c>
      <c r="C32" s="22">
        <v>1092259</v>
      </c>
      <c r="D32" s="22">
        <v>3898444555</v>
      </c>
      <c r="E32" s="8">
        <f t="shared" si="6"/>
        <v>8.1603822217573541</v>
      </c>
      <c r="F32" s="18">
        <f t="shared" si="7"/>
        <v>29125.690554281318</v>
      </c>
      <c r="G32" s="18">
        <f t="shared" ref="G32" si="11">IFERROR(F32/E32,"")</f>
        <v>3569.1576402666401</v>
      </c>
      <c r="H32" s="28"/>
    </row>
    <row r="33" spans="1:13" x14ac:dyDescent="0.35">
      <c r="A33" s="7">
        <v>46174</v>
      </c>
      <c r="B33" s="22">
        <v>135731</v>
      </c>
      <c r="C33" s="22">
        <v>1110393</v>
      </c>
      <c r="D33" s="22">
        <v>3977668190</v>
      </c>
      <c r="E33" s="8">
        <f t="shared" si="6"/>
        <v>8.1808356234021709</v>
      </c>
      <c r="F33" s="18">
        <f t="shared" si="7"/>
        <v>29305.524824837361</v>
      </c>
      <c r="G33" s="18">
        <f t="shared" ref="G33" si="12">IFERROR(F33/E33,"")</f>
        <v>3582.2165575611516</v>
      </c>
      <c r="H33" s="28"/>
    </row>
    <row r="34" spans="1:13" x14ac:dyDescent="0.35">
      <c r="A34" s="7">
        <v>46204</v>
      </c>
      <c r="B34" s="22">
        <v>136605</v>
      </c>
      <c r="C34" s="22">
        <v>1130037</v>
      </c>
      <c r="D34" s="22">
        <v>4090372188</v>
      </c>
      <c r="E34" s="8">
        <f t="shared" si="6"/>
        <v>8.2722960360162521</v>
      </c>
      <c r="F34" s="18">
        <f t="shared" si="7"/>
        <v>29943.063489623368</v>
      </c>
      <c r="G34" s="18">
        <f t="shared" ref="G34" si="13">IFERROR(F34/E34,"")</f>
        <v>3619.6798759686626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05C2-49A8-4292-8217-7092E07653C1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H36" sqref="H36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43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139973</v>
      </c>
      <c r="C4" s="21">
        <v>1048552</v>
      </c>
      <c r="D4" s="21">
        <v>2819560554.1899991</v>
      </c>
      <c r="E4" s="5">
        <f t="shared" ref="E4:E7" si="0">C4/B4</f>
        <v>7.4911018553578188</v>
      </c>
      <c r="F4" s="18">
        <f t="shared" ref="F4:F7" si="1">D4/B4</f>
        <v>20143.603081951514</v>
      </c>
      <c r="G4" s="18">
        <f t="shared" ref="G4:G9" si="2">F4/E4</f>
        <v>2689.0040305011094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140913</v>
      </c>
      <c r="C5" s="22">
        <v>1071347</v>
      </c>
      <c r="D5" s="22">
        <v>2888163817.2200003</v>
      </c>
      <c r="E5" s="8">
        <f t="shared" si="0"/>
        <v>7.6028968228623333</v>
      </c>
      <c r="F5" s="18">
        <f t="shared" si="1"/>
        <v>20496.077843917879</v>
      </c>
      <c r="G5" s="18">
        <f t="shared" si="2"/>
        <v>2695.8248048671439</v>
      </c>
      <c r="H5" s="28"/>
    </row>
    <row r="6" spans="1:13" x14ac:dyDescent="0.35">
      <c r="A6" s="7">
        <v>45352</v>
      </c>
      <c r="B6" s="22">
        <v>141248</v>
      </c>
      <c r="C6" s="22">
        <v>1094859</v>
      </c>
      <c r="D6" s="22">
        <v>3003296535.1200004</v>
      </c>
      <c r="E6" s="8">
        <f t="shared" si="0"/>
        <v>7.7513239125509745</v>
      </c>
      <c r="F6" s="18">
        <f t="shared" si="1"/>
        <v>21262.577417874945</v>
      </c>
      <c r="G6" s="18">
        <f t="shared" si="2"/>
        <v>2743.0897815335125</v>
      </c>
      <c r="H6" s="28"/>
    </row>
    <row r="7" spans="1:13" x14ac:dyDescent="0.35">
      <c r="A7" s="7">
        <v>45383</v>
      </c>
      <c r="B7" s="22">
        <v>159893</v>
      </c>
      <c r="C7" s="22">
        <v>1166439</v>
      </c>
      <c r="D7" s="22">
        <v>3214828239.8900089</v>
      </c>
      <c r="E7" s="8">
        <f t="shared" si="0"/>
        <v>7.2951223630803099</v>
      </c>
      <c r="F7" s="18">
        <f t="shared" si="1"/>
        <v>20106.122468713507</v>
      </c>
      <c r="G7" s="18">
        <f t="shared" si="2"/>
        <v>2756.1048969470403</v>
      </c>
      <c r="H7" s="28"/>
    </row>
    <row r="8" spans="1:13" x14ac:dyDescent="0.35">
      <c r="A8" s="7">
        <v>45413</v>
      </c>
      <c r="B8" s="22">
        <v>160181</v>
      </c>
      <c r="C8" s="22">
        <v>1208491</v>
      </c>
      <c r="D8" s="22">
        <v>3376910802.0600424</v>
      </c>
      <c r="E8" s="8">
        <f t="shared" ref="E8:E23" si="3">C8/B8</f>
        <v>7.5445339959171189</v>
      </c>
      <c r="F8" s="18">
        <f t="shared" ref="F8:F23" si="4">D8/B8</f>
        <v>21081.843677215416</v>
      </c>
      <c r="G8" s="18">
        <f t="shared" si="2"/>
        <v>2794.3201910978587</v>
      </c>
      <c r="H8" s="28"/>
    </row>
    <row r="9" spans="1:13" x14ac:dyDescent="0.35">
      <c r="A9" s="7">
        <v>45444</v>
      </c>
      <c r="B9" s="22">
        <v>159973</v>
      </c>
      <c r="C9" s="22">
        <v>1229298</v>
      </c>
      <c r="D9" s="22">
        <v>3486436136.8800001</v>
      </c>
      <c r="E9" s="8">
        <f t="shared" si="3"/>
        <v>7.6844092440599354</v>
      </c>
      <c r="F9" s="18">
        <f t="shared" si="4"/>
        <v>21793.903576728575</v>
      </c>
      <c r="G9" s="18">
        <f t="shared" si="2"/>
        <v>2836.1195876671077</v>
      </c>
      <c r="H9" s="28"/>
    </row>
    <row r="10" spans="1:13" x14ac:dyDescent="0.35">
      <c r="A10" s="7">
        <v>45474</v>
      </c>
      <c r="B10" s="22">
        <v>162584</v>
      </c>
      <c r="C10" s="22">
        <v>1257415</v>
      </c>
      <c r="D10" s="22">
        <v>3556110296.6399999</v>
      </c>
      <c r="E10" s="8">
        <f t="shared" si="3"/>
        <v>7.7339406091620333</v>
      </c>
      <c r="F10" s="18">
        <f t="shared" si="4"/>
        <v>21872.449297839885</v>
      </c>
      <c r="G10" s="18">
        <f t="shared" ref="G10:G21" si="5">F10/E10</f>
        <v>2828.1118776537578</v>
      </c>
      <c r="H10" s="28"/>
    </row>
    <row r="11" spans="1:13" x14ac:dyDescent="0.35">
      <c r="A11" s="7">
        <v>45505</v>
      </c>
      <c r="B11" s="22">
        <v>163613</v>
      </c>
      <c r="C11" s="22">
        <v>1288739</v>
      </c>
      <c r="D11" s="22">
        <v>3638150030.7699971</v>
      </c>
      <c r="E11" s="8">
        <f t="shared" si="3"/>
        <v>7.8767518473470934</v>
      </c>
      <c r="F11" s="18">
        <f t="shared" si="4"/>
        <v>22236.313928416428</v>
      </c>
      <c r="G11" s="18">
        <f t="shared" si="5"/>
        <v>2823.0309091057206</v>
      </c>
      <c r="H11" s="28"/>
    </row>
    <row r="12" spans="1:13" x14ac:dyDescent="0.35">
      <c r="A12" s="7">
        <v>45536</v>
      </c>
      <c r="B12" s="22">
        <v>165072</v>
      </c>
      <c r="C12" s="22">
        <v>1321397</v>
      </c>
      <c r="D12" s="22">
        <v>3762816069.6900034</v>
      </c>
      <c r="E12" s="8">
        <f t="shared" si="3"/>
        <v>8.0049735872831249</v>
      </c>
      <c r="F12" s="18">
        <f t="shared" si="4"/>
        <v>22794.998968268414</v>
      </c>
      <c r="G12" s="18">
        <f t="shared" si="5"/>
        <v>2847.6045198301522</v>
      </c>
      <c r="H12" s="28"/>
    </row>
    <row r="13" spans="1:13" x14ac:dyDescent="0.35">
      <c r="A13" s="7">
        <v>45566</v>
      </c>
      <c r="B13" s="22">
        <v>166871</v>
      </c>
      <c r="C13" s="22">
        <v>1364298</v>
      </c>
      <c r="D13" s="22">
        <v>3926176216.0100017</v>
      </c>
      <c r="E13" s="8">
        <f t="shared" si="3"/>
        <v>8.1757645127074206</v>
      </c>
      <c r="F13" s="18">
        <f t="shared" si="4"/>
        <v>23528.211708505383</v>
      </c>
      <c r="G13" s="18">
        <f t="shared" si="5"/>
        <v>2877.7995833828109</v>
      </c>
      <c r="H13" s="28"/>
    </row>
    <row r="14" spans="1:13" x14ac:dyDescent="0.35">
      <c r="A14" s="7">
        <v>45597</v>
      </c>
      <c r="B14" s="22">
        <v>165424</v>
      </c>
      <c r="C14" s="22">
        <v>1317932</v>
      </c>
      <c r="D14" s="22">
        <v>3821226158.9899983</v>
      </c>
      <c r="E14" s="8">
        <f t="shared" si="3"/>
        <v>7.9669939065673665</v>
      </c>
      <c r="F14" s="18">
        <f t="shared" si="4"/>
        <v>23099.58747817728</v>
      </c>
      <c r="G14" s="18">
        <f t="shared" si="5"/>
        <v>2899.4107123812141</v>
      </c>
      <c r="H14" s="28"/>
    </row>
    <row r="15" spans="1:13" ht="15" thickBot="1" x14ac:dyDescent="0.4">
      <c r="A15" s="9">
        <v>45627</v>
      </c>
      <c r="B15" s="23">
        <v>166046</v>
      </c>
      <c r="C15" s="23">
        <v>1299563</v>
      </c>
      <c r="D15" s="23">
        <v>3734487469.8399997</v>
      </c>
      <c r="E15" s="10">
        <f t="shared" si="3"/>
        <v>7.8265239752839575</v>
      </c>
      <c r="F15" s="20">
        <f t="shared" si="4"/>
        <v>22490.680111776252</v>
      </c>
      <c r="G15" s="20">
        <f t="shared" si="5"/>
        <v>2873.64865715629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136654</v>
      </c>
      <c r="C16" s="21">
        <v>1020965</v>
      </c>
      <c r="D16" s="21">
        <v>3161984406.8100009</v>
      </c>
      <c r="E16" s="5">
        <f t="shared" si="3"/>
        <v>7.4711680594786838</v>
      </c>
      <c r="F16" s="18">
        <f t="shared" si="4"/>
        <v>23138.615823978813</v>
      </c>
      <c r="G16" s="18">
        <f t="shared" si="5"/>
        <v>3097.0546559480495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138400</v>
      </c>
      <c r="C17" s="22">
        <v>1074814</v>
      </c>
      <c r="D17" s="22">
        <v>3386109215.8699961</v>
      </c>
      <c r="E17" s="8">
        <f t="shared" si="3"/>
        <v>7.7659971098265892</v>
      </c>
      <c r="F17" s="18">
        <f t="shared" si="4"/>
        <v>24466.107051083785</v>
      </c>
      <c r="G17" s="18">
        <f t="shared" si="5"/>
        <v>3150.4141329290428</v>
      </c>
      <c r="H17" s="28"/>
    </row>
    <row r="18" spans="1:13" x14ac:dyDescent="0.35">
      <c r="A18" s="7">
        <v>45717</v>
      </c>
      <c r="B18" s="22">
        <v>141464</v>
      </c>
      <c r="C18" s="22">
        <v>1103265</v>
      </c>
      <c r="D18" s="22">
        <v>3536687627.7699976</v>
      </c>
      <c r="E18" s="8">
        <f t="shared" si="3"/>
        <v>7.7989099700277098</v>
      </c>
      <c r="F18" s="18">
        <f t="shared" si="4"/>
        <v>25000.619435121287</v>
      </c>
      <c r="G18" s="18">
        <f t="shared" si="5"/>
        <v>3205.6556020267099</v>
      </c>
      <c r="H18" s="28"/>
    </row>
    <row r="19" spans="1:13" x14ac:dyDescent="0.35">
      <c r="A19" s="7">
        <v>45748</v>
      </c>
      <c r="B19" s="22">
        <v>145075</v>
      </c>
      <c r="C19" s="22">
        <v>1132023</v>
      </c>
      <c r="D19" s="22">
        <v>3688219673</v>
      </c>
      <c r="E19" s="8">
        <f t="shared" si="3"/>
        <v>7.8030191280372225</v>
      </c>
      <c r="F19" s="18">
        <f t="shared" si="4"/>
        <v>25422.847995864209</v>
      </c>
      <c r="G19" s="18">
        <f t="shared" si="5"/>
        <v>3258.0783897500314</v>
      </c>
      <c r="H19" s="28"/>
    </row>
    <row r="20" spans="1:13" x14ac:dyDescent="0.35">
      <c r="A20" s="7">
        <v>45778</v>
      </c>
      <c r="B20" s="22">
        <v>146751</v>
      </c>
      <c r="C20" s="22">
        <v>1145815</v>
      </c>
      <c r="D20" s="22">
        <v>3796545864</v>
      </c>
      <c r="E20" s="8">
        <f t="shared" si="3"/>
        <v>7.8078854658571322</v>
      </c>
      <c r="F20" s="18">
        <f t="shared" si="4"/>
        <v>25870.664349817038</v>
      </c>
      <c r="G20" s="18">
        <f t="shared" si="5"/>
        <v>3313.4021321068412</v>
      </c>
      <c r="H20" s="28"/>
    </row>
    <row r="21" spans="1:13" x14ac:dyDescent="0.35">
      <c r="A21" s="7">
        <v>45809</v>
      </c>
      <c r="B21" s="22">
        <v>148256</v>
      </c>
      <c r="C21" s="22">
        <v>1175416</v>
      </c>
      <c r="D21" s="22">
        <v>3925932993</v>
      </c>
      <c r="E21" s="8">
        <f t="shared" si="3"/>
        <v>7.9282862076408378</v>
      </c>
      <c r="F21" s="18">
        <f t="shared" si="4"/>
        <v>26480.769702406647</v>
      </c>
      <c r="G21" s="18">
        <f t="shared" si="5"/>
        <v>3340.0370532645461</v>
      </c>
      <c r="H21" s="28"/>
    </row>
    <row r="22" spans="1:13" x14ac:dyDescent="0.35">
      <c r="A22" s="7">
        <v>45839</v>
      </c>
      <c r="B22" s="22">
        <v>152023</v>
      </c>
      <c r="C22" s="22">
        <v>1205745</v>
      </c>
      <c r="D22" s="22">
        <v>4063865340</v>
      </c>
      <c r="E22" s="8">
        <f t="shared" si="3"/>
        <v>7.9313327588588569</v>
      </c>
      <c r="F22" s="18">
        <f t="shared" si="4"/>
        <v>26731.911223959534</v>
      </c>
      <c r="G22" s="18">
        <f>F22/E22</f>
        <v>3370.4185710909023</v>
      </c>
      <c r="H22" s="28"/>
    </row>
    <row r="23" spans="1:13" x14ac:dyDescent="0.35">
      <c r="A23" s="7">
        <v>45870</v>
      </c>
      <c r="B23" s="22">
        <v>153832</v>
      </c>
      <c r="C23" s="22">
        <v>1241984</v>
      </c>
      <c r="D23" s="22">
        <v>4199333522</v>
      </c>
      <c r="E23" s="8">
        <f t="shared" si="3"/>
        <v>8.0736387747672786</v>
      </c>
      <c r="F23" s="18">
        <f t="shared" si="4"/>
        <v>27298.179325497946</v>
      </c>
      <c r="G23" s="18">
        <f>F23/E23</f>
        <v>3381.1494528109861</v>
      </c>
    </row>
    <row r="24" spans="1:13" x14ac:dyDescent="0.35">
      <c r="A24" s="7">
        <v>45901</v>
      </c>
      <c r="B24" s="22">
        <v>158208</v>
      </c>
      <c r="C24" s="22">
        <v>1269461</v>
      </c>
      <c r="D24" s="22">
        <v>4239704272</v>
      </c>
      <c r="E24" s="8">
        <f t="shared" ref="E24:E34" si="6">IFERROR(C24/B24,"")</f>
        <v>8.0240000505663431</v>
      </c>
      <c r="F24" s="18">
        <f t="shared" ref="F24:F34" si="7">IFERROR(D24/B24,"")</f>
        <v>26798.29257686084</v>
      </c>
      <c r="G24" s="18">
        <f t="shared" ref="G24:G29" si="8">IFERROR(F24/E24,"")</f>
        <v>3339.7672492498782</v>
      </c>
    </row>
    <row r="25" spans="1:13" x14ac:dyDescent="0.35">
      <c r="A25" s="7">
        <v>45931</v>
      </c>
      <c r="B25" s="22">
        <v>163796</v>
      </c>
      <c r="C25" s="22">
        <v>1301315</v>
      </c>
      <c r="D25" s="22">
        <v>4338325683</v>
      </c>
      <c r="E25" s="8">
        <f t="shared" si="6"/>
        <v>7.9447300300373636</v>
      </c>
      <c r="F25" s="18">
        <f t="shared" si="7"/>
        <v>26486.151572687977</v>
      </c>
      <c r="G25" s="18">
        <f t="shared" si="8"/>
        <v>3333.8013340351872</v>
      </c>
    </row>
    <row r="26" spans="1:13" x14ac:dyDescent="0.35">
      <c r="A26" s="7">
        <v>45962</v>
      </c>
      <c r="B26" s="22">
        <v>166681</v>
      </c>
      <c r="C26" s="22">
        <v>1324903</v>
      </c>
      <c r="D26" s="22">
        <v>4466343928</v>
      </c>
      <c r="E26" s="8">
        <f t="shared" si="6"/>
        <v>7.9487344088408394</v>
      </c>
      <c r="F26" s="18">
        <f t="shared" si="7"/>
        <v>26795.759132714586</v>
      </c>
      <c r="G26" s="18">
        <f t="shared" si="8"/>
        <v>3371.0723939790309</v>
      </c>
    </row>
    <row r="27" spans="1:13" ht="15" thickBot="1" x14ac:dyDescent="0.4">
      <c r="A27" s="9">
        <v>45992</v>
      </c>
      <c r="B27" s="23">
        <v>168195</v>
      </c>
      <c r="C27" s="23">
        <v>1336682</v>
      </c>
      <c r="D27" s="23">
        <v>4527004878</v>
      </c>
      <c r="E27" s="10">
        <f t="shared" si="6"/>
        <v>7.9472160290139424</v>
      </c>
      <c r="F27" s="20">
        <f t="shared" si="7"/>
        <v>26915.216730580578</v>
      </c>
      <c r="G27" s="20">
        <f t="shared" si="8"/>
        <v>3386.7478412965838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170603</v>
      </c>
      <c r="C28" s="21">
        <v>1348107</v>
      </c>
      <c r="D28" s="21">
        <v>4609412883</v>
      </c>
      <c r="E28" s="5">
        <f t="shared" si="6"/>
        <v>7.902012274110068</v>
      </c>
      <c r="F28" s="18">
        <f t="shared" si="7"/>
        <v>27018.357725245161</v>
      </c>
      <c r="G28" s="18">
        <f t="shared" si="8"/>
        <v>3419.1743555964035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176794</v>
      </c>
      <c r="C29" s="22">
        <v>1374360</v>
      </c>
      <c r="D29" s="22">
        <v>4726230190</v>
      </c>
      <c r="E29" s="8">
        <f t="shared" si="6"/>
        <v>7.7737932282769782</v>
      </c>
      <c r="F29" s="18">
        <f t="shared" si="7"/>
        <v>26732.97843818229</v>
      </c>
      <c r="G29" s="18">
        <f t="shared" si="8"/>
        <v>3438.858952530632</v>
      </c>
      <c r="H29" s="28"/>
    </row>
    <row r="30" spans="1:13" x14ac:dyDescent="0.35">
      <c r="A30" s="7">
        <v>46082</v>
      </c>
      <c r="B30" s="22">
        <v>177834</v>
      </c>
      <c r="C30" s="22">
        <v>1422427</v>
      </c>
      <c r="D30" s="22">
        <v>4957812647</v>
      </c>
      <c r="E30" s="8">
        <f t="shared" si="6"/>
        <v>7.9986223106942429</v>
      </c>
      <c r="F30" s="18">
        <f t="shared" si="7"/>
        <v>27878.879443750913</v>
      </c>
      <c r="G30" s="18">
        <f t="shared" ref="G30" si="9">IFERROR(F30/E30,"")</f>
        <v>3485.4601656183409</v>
      </c>
      <c r="H30" s="28"/>
    </row>
    <row r="31" spans="1:13" x14ac:dyDescent="0.35">
      <c r="A31" s="7">
        <v>46113</v>
      </c>
      <c r="B31" s="22">
        <v>180954</v>
      </c>
      <c r="C31" s="22">
        <v>1471142</v>
      </c>
      <c r="D31" s="22">
        <v>5191578262</v>
      </c>
      <c r="E31" s="8">
        <f t="shared" si="6"/>
        <v>8.1299225217458577</v>
      </c>
      <c r="F31" s="18">
        <f t="shared" si="7"/>
        <v>28690.044221183285</v>
      </c>
      <c r="G31" s="18">
        <f t="shared" ref="G31" si="10">IFERROR(F31/E31,"")</f>
        <v>3528.9443588722233</v>
      </c>
      <c r="H31" s="28"/>
    </row>
    <row r="32" spans="1:13" x14ac:dyDescent="0.35">
      <c r="A32" s="7">
        <v>46143</v>
      </c>
      <c r="B32" s="22">
        <v>182786</v>
      </c>
      <c r="C32" s="22">
        <v>1520413</v>
      </c>
      <c r="D32" s="22">
        <v>5414889491</v>
      </c>
      <c r="E32" s="8">
        <f t="shared" si="6"/>
        <v>8.3179948136071697</v>
      </c>
      <c r="F32" s="18">
        <f t="shared" si="7"/>
        <v>29624.202570218727</v>
      </c>
      <c r="G32" s="18">
        <f t="shared" ref="G32" si="11">IFERROR(F32/E32,"")</f>
        <v>3561.4596106452655</v>
      </c>
      <c r="H32" s="28"/>
    </row>
    <row r="33" spans="1:13" x14ac:dyDescent="0.35">
      <c r="A33" s="7">
        <v>46174</v>
      </c>
      <c r="B33" s="22">
        <v>185150</v>
      </c>
      <c r="C33" s="22">
        <v>1545592</v>
      </c>
      <c r="D33" s="22">
        <v>5541654656</v>
      </c>
      <c r="E33" s="8">
        <f t="shared" si="6"/>
        <v>8.3477828787469619</v>
      </c>
      <c r="F33" s="18">
        <f t="shared" si="7"/>
        <v>29930.621960572509</v>
      </c>
      <c r="G33" s="18">
        <f t="shared" ref="G33" si="12">IFERROR(F33/E33,"")</f>
        <v>3585.4576472963113</v>
      </c>
      <c r="H33" s="28"/>
    </row>
    <row r="34" spans="1:13" x14ac:dyDescent="0.35">
      <c r="A34" s="7">
        <v>46204</v>
      </c>
      <c r="B34" s="22">
        <v>186331</v>
      </c>
      <c r="C34" s="22">
        <v>1574923</v>
      </c>
      <c r="D34" s="22">
        <v>5722043119</v>
      </c>
      <c r="E34" s="8">
        <f t="shared" si="6"/>
        <v>8.4522865223714785</v>
      </c>
      <c r="F34" s="18">
        <f t="shared" si="7"/>
        <v>30709.023828563149</v>
      </c>
      <c r="G34" s="18">
        <f t="shared" ref="G34" si="13">IFERROR(F34/E34,"")</f>
        <v>3633.2208742903622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7BE1-3D85-430C-9BA5-F1E2D89C1126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J34" sqref="J34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44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151786</v>
      </c>
      <c r="C4" s="21">
        <v>1127492</v>
      </c>
      <c r="D4" s="21">
        <v>2995385500.1200037</v>
      </c>
      <c r="E4" s="5">
        <f t="shared" ref="E4:E7" si="0">C4/B4</f>
        <v>7.4281686058002716</v>
      </c>
      <c r="F4" s="18">
        <f t="shared" ref="F4:F7" si="1">D4/B4</f>
        <v>19734.267324522709</v>
      </c>
      <c r="G4" s="18">
        <f t="shared" ref="G4:G9" si="2">F4/E4</f>
        <v>2656.6800475036662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152716</v>
      </c>
      <c r="C5" s="22">
        <v>1135663</v>
      </c>
      <c r="D5" s="22">
        <v>3037115710.8599997</v>
      </c>
      <c r="E5" s="8">
        <f t="shared" si="0"/>
        <v>7.4364375703921004</v>
      </c>
      <c r="F5" s="18">
        <f t="shared" si="1"/>
        <v>19887.344553681341</v>
      </c>
      <c r="G5" s="18">
        <f t="shared" si="2"/>
        <v>2674.3106985611048</v>
      </c>
      <c r="H5" s="28"/>
    </row>
    <row r="6" spans="1:13" x14ac:dyDescent="0.35">
      <c r="A6" s="7">
        <v>45352</v>
      </c>
      <c r="B6" s="22">
        <v>154060</v>
      </c>
      <c r="C6" s="22">
        <v>1156318</v>
      </c>
      <c r="D6" s="22">
        <v>3125146780.4200015</v>
      </c>
      <c r="E6" s="8">
        <f t="shared" si="0"/>
        <v>7.505634168505777</v>
      </c>
      <c r="F6" s="18">
        <f t="shared" si="1"/>
        <v>20285.257564715055</v>
      </c>
      <c r="G6" s="18">
        <f t="shared" si="2"/>
        <v>2702.6707016754917</v>
      </c>
      <c r="H6" s="28"/>
    </row>
    <row r="7" spans="1:13" x14ac:dyDescent="0.35">
      <c r="A7" s="7">
        <v>45383</v>
      </c>
      <c r="B7" s="22">
        <v>155546</v>
      </c>
      <c r="C7" s="22">
        <v>1172875</v>
      </c>
      <c r="D7" s="22">
        <v>3218254350.5100012</v>
      </c>
      <c r="E7" s="8">
        <f t="shared" si="0"/>
        <v>7.5403739086829615</v>
      </c>
      <c r="F7" s="18">
        <f t="shared" si="1"/>
        <v>20690.048927712709</v>
      </c>
      <c r="G7" s="18">
        <f t="shared" si="2"/>
        <v>2743.9022491825654</v>
      </c>
      <c r="H7" s="28"/>
    </row>
    <row r="8" spans="1:13" x14ac:dyDescent="0.35">
      <c r="A8" s="7">
        <v>45413</v>
      </c>
      <c r="B8" s="22">
        <v>158335</v>
      </c>
      <c r="C8" s="22">
        <v>1195849</v>
      </c>
      <c r="D8" s="22">
        <v>3332286946.6899986</v>
      </c>
      <c r="E8" s="8">
        <f t="shared" ref="E8:E23" si="3">C8/B8</f>
        <v>7.5526510247260559</v>
      </c>
      <c r="F8" s="18">
        <f t="shared" ref="F8:F23" si="4">D8/B8</f>
        <v>21045.801286449609</v>
      </c>
      <c r="G8" s="18">
        <f t="shared" si="2"/>
        <v>2786.5449121837278</v>
      </c>
      <c r="H8" s="28"/>
    </row>
    <row r="9" spans="1:13" x14ac:dyDescent="0.35">
      <c r="A9" s="7">
        <v>45444</v>
      </c>
      <c r="B9" s="22">
        <v>158692</v>
      </c>
      <c r="C9" s="22">
        <v>1199169</v>
      </c>
      <c r="D9" s="22">
        <v>3390224688.6199999</v>
      </c>
      <c r="E9" s="8">
        <f t="shared" si="3"/>
        <v>7.5565813021450357</v>
      </c>
      <c r="F9" s="18">
        <f t="shared" si="4"/>
        <v>21363.551336047185</v>
      </c>
      <c r="G9" s="18">
        <f t="shared" si="2"/>
        <v>2827.145038455797</v>
      </c>
      <c r="H9" s="28"/>
    </row>
    <row r="10" spans="1:13" x14ac:dyDescent="0.35">
      <c r="A10" s="7">
        <v>45474</v>
      </c>
      <c r="B10" s="22">
        <v>159084</v>
      </c>
      <c r="C10" s="22">
        <v>1202967</v>
      </c>
      <c r="D10" s="22">
        <v>3420323745.8499999</v>
      </c>
      <c r="E10" s="8">
        <f t="shared" si="3"/>
        <v>7.5618352568454403</v>
      </c>
      <c r="F10" s="18">
        <f t="shared" si="4"/>
        <v>21500.111550187321</v>
      </c>
      <c r="G10" s="18">
        <f t="shared" ref="G10:G21" si="5">F10/E10</f>
        <v>2843.2398776109399</v>
      </c>
      <c r="H10" s="28"/>
    </row>
    <row r="11" spans="1:13" x14ac:dyDescent="0.35">
      <c r="A11" s="7">
        <v>45505</v>
      </c>
      <c r="B11" s="22">
        <v>159345</v>
      </c>
      <c r="C11" s="22">
        <v>1214534</v>
      </c>
      <c r="D11" s="22">
        <v>3467935539.3099971</v>
      </c>
      <c r="E11" s="8">
        <f t="shared" si="3"/>
        <v>7.6220402271800181</v>
      </c>
      <c r="F11" s="18">
        <f t="shared" si="4"/>
        <v>21763.692235777697</v>
      </c>
      <c r="G11" s="18">
        <f t="shared" si="5"/>
        <v>2855.363076957909</v>
      </c>
      <c r="H11" s="28"/>
    </row>
    <row r="12" spans="1:13" x14ac:dyDescent="0.35">
      <c r="A12" s="7">
        <v>45536</v>
      </c>
      <c r="B12" s="22">
        <v>159637</v>
      </c>
      <c r="C12" s="22">
        <v>1222316</v>
      </c>
      <c r="D12" s="22">
        <v>3511184188.2999997</v>
      </c>
      <c r="E12" s="8">
        <f t="shared" si="3"/>
        <v>7.6568464704297874</v>
      </c>
      <c r="F12" s="18">
        <f t="shared" si="4"/>
        <v>21994.801883648524</v>
      </c>
      <c r="G12" s="18">
        <f t="shared" si="5"/>
        <v>2872.5666589490766</v>
      </c>
      <c r="H12" s="28"/>
    </row>
    <row r="13" spans="1:13" x14ac:dyDescent="0.35">
      <c r="A13" s="7">
        <v>45566</v>
      </c>
      <c r="B13" s="22">
        <v>161021</v>
      </c>
      <c r="C13" s="22">
        <v>1242250</v>
      </c>
      <c r="D13" s="22">
        <v>3607565354.7299972</v>
      </c>
      <c r="E13" s="8">
        <f t="shared" si="3"/>
        <v>7.7148322268523986</v>
      </c>
      <c r="F13" s="18">
        <f t="shared" si="4"/>
        <v>22404.315926059317</v>
      </c>
      <c r="G13" s="18">
        <f t="shared" si="5"/>
        <v>2904.0574399114485</v>
      </c>
      <c r="H13" s="28"/>
    </row>
    <row r="14" spans="1:13" x14ac:dyDescent="0.35">
      <c r="A14" s="7">
        <v>45597</v>
      </c>
      <c r="B14" s="22">
        <v>161977</v>
      </c>
      <c r="C14" s="22">
        <v>1241927</v>
      </c>
      <c r="D14" s="22">
        <v>3611543576.269999</v>
      </c>
      <c r="E14" s="8">
        <f t="shared" si="3"/>
        <v>7.6673046173222126</v>
      </c>
      <c r="F14" s="18">
        <f t="shared" si="4"/>
        <v>22296.644438840078</v>
      </c>
      <c r="G14" s="18">
        <f t="shared" si="5"/>
        <v>2908.0159914954738</v>
      </c>
      <c r="H14" s="28"/>
    </row>
    <row r="15" spans="1:13" ht="15" thickBot="1" x14ac:dyDescent="0.4">
      <c r="A15" s="9">
        <v>45627</v>
      </c>
      <c r="B15" s="23">
        <v>163225</v>
      </c>
      <c r="C15" s="23">
        <v>1244721</v>
      </c>
      <c r="D15" s="23">
        <v>3581280560.3499985</v>
      </c>
      <c r="E15" s="10">
        <f t="shared" si="3"/>
        <v>7.6257987440649408</v>
      </c>
      <c r="F15" s="20">
        <f t="shared" si="4"/>
        <v>21940.760057282881</v>
      </c>
      <c r="G15" s="20">
        <f t="shared" si="5"/>
        <v>2877.1753351554271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167427</v>
      </c>
      <c r="C16" s="21">
        <v>1266790</v>
      </c>
      <c r="D16" s="21">
        <v>3687492873.3099961</v>
      </c>
      <c r="E16" s="5">
        <f t="shared" si="3"/>
        <v>7.5662228911704803</v>
      </c>
      <c r="F16" s="18">
        <f t="shared" si="4"/>
        <v>22024.481555006038</v>
      </c>
      <c r="G16" s="18">
        <f t="shared" si="5"/>
        <v>2910.8951549270168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170442</v>
      </c>
      <c r="C17" s="22">
        <v>1308225</v>
      </c>
      <c r="D17" s="22">
        <v>3897669651.3299947</v>
      </c>
      <c r="E17" s="8">
        <f t="shared" si="3"/>
        <v>7.6754849156897951</v>
      </c>
      <c r="F17" s="18">
        <f t="shared" si="4"/>
        <v>22868.011706797588</v>
      </c>
      <c r="G17" s="18">
        <f t="shared" si="5"/>
        <v>2979.357259897949</v>
      </c>
      <c r="H17" s="28"/>
    </row>
    <row r="18" spans="1:13" x14ac:dyDescent="0.35">
      <c r="A18" s="7">
        <v>45717</v>
      </c>
      <c r="B18" s="22">
        <v>174195</v>
      </c>
      <c r="C18" s="22">
        <v>1323311</v>
      </c>
      <c r="D18" s="22">
        <v>3977579982.7299986</v>
      </c>
      <c r="E18" s="8">
        <f t="shared" si="3"/>
        <v>7.596722064353167</v>
      </c>
      <c r="F18" s="18">
        <f t="shared" si="4"/>
        <v>22834.065172536517</v>
      </c>
      <c r="G18" s="18">
        <f t="shared" si="5"/>
        <v>3005.7786738944956</v>
      </c>
      <c r="H18" s="28"/>
    </row>
    <row r="19" spans="1:13" x14ac:dyDescent="0.35">
      <c r="A19" s="7">
        <v>45748</v>
      </c>
      <c r="B19" s="22">
        <v>178019</v>
      </c>
      <c r="C19" s="22">
        <v>1347467</v>
      </c>
      <c r="D19" s="22">
        <v>4097477059</v>
      </c>
      <c r="E19" s="8">
        <f t="shared" si="3"/>
        <v>7.5692313741791608</v>
      </c>
      <c r="F19" s="18">
        <f t="shared" si="4"/>
        <v>23017.077160303113</v>
      </c>
      <c r="G19" s="18">
        <f t="shared" si="5"/>
        <v>3040.8737720478498</v>
      </c>
      <c r="H19" s="28"/>
    </row>
    <row r="20" spans="1:13" x14ac:dyDescent="0.35">
      <c r="A20" s="7">
        <v>45778</v>
      </c>
      <c r="B20" s="22">
        <v>181184</v>
      </c>
      <c r="C20" s="22">
        <v>1359076</v>
      </c>
      <c r="D20" s="22">
        <v>4177726883</v>
      </c>
      <c r="E20" s="8">
        <f t="shared" si="3"/>
        <v>7.5010817732250086</v>
      </c>
      <c r="F20" s="18">
        <f t="shared" si="4"/>
        <v>23057.923895045918</v>
      </c>
      <c r="G20" s="18">
        <f t="shared" si="5"/>
        <v>3073.9464776068444</v>
      </c>
      <c r="H20" s="28"/>
    </row>
    <row r="21" spans="1:13" x14ac:dyDescent="0.35">
      <c r="A21" s="7">
        <v>45809</v>
      </c>
      <c r="B21" s="22">
        <v>183417</v>
      </c>
      <c r="C21" s="22">
        <v>1387432</v>
      </c>
      <c r="D21" s="22">
        <v>4265801691</v>
      </c>
      <c r="E21" s="8">
        <f t="shared" si="3"/>
        <v>7.5643588107972546</v>
      </c>
      <c r="F21" s="18">
        <f t="shared" si="4"/>
        <v>23257.395394101964</v>
      </c>
      <c r="G21" s="18">
        <f t="shared" si="5"/>
        <v>3074.6023524035772</v>
      </c>
      <c r="H21" s="28"/>
    </row>
    <row r="22" spans="1:13" x14ac:dyDescent="0.35">
      <c r="A22" s="7">
        <v>45839</v>
      </c>
      <c r="B22" s="22">
        <v>187869</v>
      </c>
      <c r="C22" s="22">
        <v>1421641</v>
      </c>
      <c r="D22" s="22">
        <v>4387326676</v>
      </c>
      <c r="E22" s="8">
        <f t="shared" si="3"/>
        <v>7.5671930973178121</v>
      </c>
      <c r="F22" s="18">
        <f t="shared" si="4"/>
        <v>23353.116671723383</v>
      </c>
      <c r="G22" s="18">
        <f>F22/E22</f>
        <v>3086.1002714468705</v>
      </c>
      <c r="H22" s="28"/>
    </row>
    <row r="23" spans="1:13" x14ac:dyDescent="0.35">
      <c r="A23" s="7">
        <v>45870</v>
      </c>
      <c r="B23" s="22">
        <v>192447</v>
      </c>
      <c r="C23" s="22">
        <v>1469812</v>
      </c>
      <c r="D23" s="22">
        <v>4581549941</v>
      </c>
      <c r="E23" s="8">
        <f t="shared" si="3"/>
        <v>7.6374898023871509</v>
      </c>
      <c r="F23" s="18">
        <f t="shared" si="4"/>
        <v>23806.814037111515</v>
      </c>
      <c r="G23" s="18">
        <f>F23/E23</f>
        <v>3117.099289569006</v>
      </c>
    </row>
    <row r="24" spans="1:13" x14ac:dyDescent="0.35">
      <c r="A24" s="7">
        <v>45901</v>
      </c>
      <c r="B24" s="22">
        <v>197551</v>
      </c>
      <c r="C24" s="22">
        <v>1478422</v>
      </c>
      <c r="D24" s="22">
        <v>4589880919</v>
      </c>
      <c r="E24" s="8">
        <f t="shared" ref="E24:E34" si="6">IFERROR(C24/B24,"")</f>
        <v>7.4837485003872422</v>
      </c>
      <c r="F24" s="18">
        <f t="shared" ref="F24:F34" si="7">IFERROR(D24/B24,"")</f>
        <v>23233.903746374355</v>
      </c>
      <c r="G24" s="18">
        <f t="shared" ref="G24:G29" si="8">IFERROR(F24/E24,"")</f>
        <v>3104.5810458718825</v>
      </c>
    </row>
    <row r="25" spans="1:13" x14ac:dyDescent="0.35">
      <c r="A25" s="7">
        <v>45931</v>
      </c>
      <c r="B25" s="22">
        <v>203134</v>
      </c>
      <c r="C25" s="22">
        <v>1485677</v>
      </c>
      <c r="D25" s="22">
        <v>4618716072</v>
      </c>
      <c r="E25" s="8">
        <f t="shared" si="6"/>
        <v>7.3137780972166153</v>
      </c>
      <c r="F25" s="18">
        <f t="shared" si="7"/>
        <v>22737.287071588213</v>
      </c>
      <c r="G25" s="18">
        <f t="shared" si="8"/>
        <v>3108.8292219641285</v>
      </c>
    </row>
    <row r="26" spans="1:13" x14ac:dyDescent="0.35">
      <c r="A26" s="7">
        <v>45962</v>
      </c>
      <c r="B26" s="22">
        <v>208519</v>
      </c>
      <c r="C26" s="22">
        <v>1496250</v>
      </c>
      <c r="D26" s="22">
        <v>4758989342</v>
      </c>
      <c r="E26" s="8">
        <f t="shared" si="6"/>
        <v>7.1756051007342254</v>
      </c>
      <c r="F26" s="18">
        <f t="shared" si="7"/>
        <v>22822.809154081882</v>
      </c>
      <c r="G26" s="18">
        <f t="shared" si="8"/>
        <v>3180.6110890559735</v>
      </c>
    </row>
    <row r="27" spans="1:13" ht="15" thickBot="1" x14ac:dyDescent="0.4">
      <c r="A27" s="9">
        <v>45992</v>
      </c>
      <c r="B27" s="23">
        <v>209945</v>
      </c>
      <c r="C27" s="23">
        <v>1499247</v>
      </c>
      <c r="D27" s="23">
        <v>4773848583</v>
      </c>
      <c r="E27" s="10">
        <f t="shared" si="6"/>
        <v>7.1411417275953228</v>
      </c>
      <c r="F27" s="20">
        <f t="shared" si="7"/>
        <v>22738.567639143585</v>
      </c>
      <c r="G27" s="20">
        <f t="shared" si="8"/>
        <v>3184.164172414552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176500</v>
      </c>
      <c r="C28" s="21">
        <v>950547</v>
      </c>
      <c r="D28" s="21">
        <v>2963738595</v>
      </c>
      <c r="E28" s="5">
        <f t="shared" si="6"/>
        <v>5.3855354107648727</v>
      </c>
      <c r="F28" s="18">
        <f t="shared" si="7"/>
        <v>16791.720084985835</v>
      </c>
      <c r="G28" s="18">
        <f t="shared" si="8"/>
        <v>3117.9295658184178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177460</v>
      </c>
      <c r="C29" s="22">
        <v>957175</v>
      </c>
      <c r="D29" s="22">
        <v>3002087775</v>
      </c>
      <c r="E29" s="8">
        <f t="shared" si="6"/>
        <v>5.3937507043840869</v>
      </c>
      <c r="F29" s="18">
        <f t="shared" si="7"/>
        <v>16916.982841203651</v>
      </c>
      <c r="G29" s="18">
        <f t="shared" si="8"/>
        <v>3136.4042886619477</v>
      </c>
      <c r="H29" s="28"/>
    </row>
    <row r="30" spans="1:13" x14ac:dyDescent="0.35">
      <c r="A30" s="7">
        <v>46082</v>
      </c>
      <c r="B30" s="22">
        <v>179725</v>
      </c>
      <c r="C30" s="22">
        <v>984462</v>
      </c>
      <c r="D30" s="22">
        <v>3155738475</v>
      </c>
      <c r="E30" s="8">
        <f t="shared" si="6"/>
        <v>5.4776018917791074</v>
      </c>
      <c r="F30" s="18">
        <f t="shared" si="7"/>
        <v>17558.706217832801</v>
      </c>
      <c r="G30" s="18">
        <f t="shared" ref="G30" si="9">IFERROR(F30/E30,"")</f>
        <v>3205.5462526740494</v>
      </c>
      <c r="H30" s="28"/>
    </row>
    <row r="31" spans="1:13" x14ac:dyDescent="0.35">
      <c r="A31" s="7">
        <v>46113</v>
      </c>
      <c r="B31" s="22">
        <v>182519</v>
      </c>
      <c r="C31" s="22">
        <v>1009945</v>
      </c>
      <c r="D31" s="22">
        <v>3220834217</v>
      </c>
      <c r="E31" s="8">
        <f t="shared" si="6"/>
        <v>5.533369128693451</v>
      </c>
      <c r="F31" s="18">
        <f t="shared" si="7"/>
        <v>17646.569491395418</v>
      </c>
      <c r="G31" s="18">
        <f t="shared" ref="G31" si="10">IFERROR(F31/E31,"")</f>
        <v>3189.1184341721582</v>
      </c>
      <c r="H31" s="28"/>
    </row>
    <row r="32" spans="1:13" x14ac:dyDescent="0.35">
      <c r="A32" s="7">
        <v>46143</v>
      </c>
      <c r="B32" s="22">
        <v>183563</v>
      </c>
      <c r="C32" s="22">
        <v>1038563</v>
      </c>
      <c r="D32" s="22">
        <v>3392024598</v>
      </c>
      <c r="E32" s="8">
        <f t="shared" si="6"/>
        <v>5.657801408780637</v>
      </c>
      <c r="F32" s="18">
        <f t="shared" si="7"/>
        <v>18478.803451675991</v>
      </c>
      <c r="G32" s="18">
        <f t="shared" ref="G32" si="11">IFERROR(F32/E32,"")</f>
        <v>3266.0749497141719</v>
      </c>
      <c r="H32" s="28"/>
    </row>
    <row r="33" spans="1:13" x14ac:dyDescent="0.35">
      <c r="A33" s="7">
        <v>46174</v>
      </c>
      <c r="B33" s="22">
        <v>185615</v>
      </c>
      <c r="C33" s="22">
        <v>1044459</v>
      </c>
      <c r="D33" s="22">
        <v>3419280245</v>
      </c>
      <c r="E33" s="8">
        <f t="shared" si="6"/>
        <v>5.6270182905476389</v>
      </c>
      <c r="F33" s="18">
        <f t="shared" si="7"/>
        <v>18421.357352584651</v>
      </c>
      <c r="G33" s="18">
        <f t="shared" ref="G33" si="12">IFERROR(F33/E33,"")</f>
        <v>3273.73333467374</v>
      </c>
      <c r="H33" s="28"/>
    </row>
    <row r="34" spans="1:13" x14ac:dyDescent="0.35">
      <c r="A34" s="7">
        <v>46204</v>
      </c>
      <c r="B34" s="22">
        <v>185970</v>
      </c>
      <c r="C34" s="22">
        <v>1046858</v>
      </c>
      <c r="D34" s="22">
        <v>3416812887</v>
      </c>
      <c r="E34" s="8">
        <f t="shared" si="6"/>
        <v>5.6291767489380007</v>
      </c>
      <c r="F34" s="18">
        <f t="shared" si="7"/>
        <v>18372.925133085981</v>
      </c>
      <c r="G34" s="18">
        <f t="shared" ref="G34" si="13">IFERROR(F34/E34,"")</f>
        <v>3263.874266614956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2B21-C30A-45DC-B37C-55E1D7B234F9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K36" sqref="K36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45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67028</v>
      </c>
      <c r="C4" s="21">
        <v>384386</v>
      </c>
      <c r="D4" s="21">
        <v>990764157.11999965</v>
      </c>
      <c r="E4" s="5">
        <f t="shared" ref="E4:E7" si="0">C4/B4</f>
        <v>5.7347078832726623</v>
      </c>
      <c r="F4" s="18">
        <f t="shared" ref="F4:F7" si="1">D4/B4</f>
        <v>14781.347453601475</v>
      </c>
      <c r="G4" s="18">
        <f t="shared" ref="G4:G9" si="2">F4/E4</f>
        <v>2577.5240438517521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67512</v>
      </c>
      <c r="C5" s="22">
        <v>387319</v>
      </c>
      <c r="D5" s="22">
        <v>1005605312.5699999</v>
      </c>
      <c r="E5" s="8">
        <f t="shared" si="0"/>
        <v>5.7370393411541656</v>
      </c>
      <c r="F5" s="18">
        <f t="shared" si="1"/>
        <v>14895.208445461547</v>
      </c>
      <c r="G5" s="18">
        <f t="shared" si="2"/>
        <v>2596.3232182516217</v>
      </c>
      <c r="H5" s="28"/>
    </row>
    <row r="6" spans="1:13" x14ac:dyDescent="0.35">
      <c r="A6" s="7">
        <v>45352</v>
      </c>
      <c r="B6" s="22">
        <v>68092</v>
      </c>
      <c r="C6" s="22">
        <v>394059</v>
      </c>
      <c r="D6" s="22">
        <v>1033092451.2500004</v>
      </c>
      <c r="E6" s="8">
        <f t="shared" si="0"/>
        <v>5.7871556129941846</v>
      </c>
      <c r="F6" s="18">
        <f t="shared" si="1"/>
        <v>15172.009211801686</v>
      </c>
      <c r="G6" s="18">
        <f t="shared" si="2"/>
        <v>2621.6694739873988</v>
      </c>
      <c r="H6" s="28"/>
    </row>
    <row r="7" spans="1:13" x14ac:dyDescent="0.35">
      <c r="A7" s="7">
        <v>45383</v>
      </c>
      <c r="B7" s="22">
        <v>68853</v>
      </c>
      <c r="C7" s="22">
        <v>398242</v>
      </c>
      <c r="D7" s="22">
        <v>1056539013.6600001</v>
      </c>
      <c r="E7" s="8">
        <f t="shared" si="0"/>
        <v>5.7839455070948249</v>
      </c>
      <c r="F7" s="18">
        <f t="shared" si="1"/>
        <v>15344.850822186398</v>
      </c>
      <c r="G7" s="18">
        <f t="shared" si="2"/>
        <v>2653.0075021218258</v>
      </c>
      <c r="H7" s="28"/>
    </row>
    <row r="8" spans="1:13" x14ac:dyDescent="0.35">
      <c r="A8" s="7">
        <v>45413</v>
      </c>
      <c r="B8" s="22">
        <v>69181</v>
      </c>
      <c r="C8" s="22">
        <v>402746</v>
      </c>
      <c r="D8" s="22">
        <v>1081875395.2899992</v>
      </c>
      <c r="E8" s="8">
        <f t="shared" ref="E8:E23" si="3">C8/B8</f>
        <v>5.8216273254217201</v>
      </c>
      <c r="F8" s="18">
        <f t="shared" ref="F8:F23" si="4">D8/B8</f>
        <v>15638.331265665418</v>
      </c>
      <c r="G8" s="18">
        <f t="shared" si="2"/>
        <v>2686.247399825198</v>
      </c>
      <c r="H8" s="28"/>
    </row>
    <row r="9" spans="1:13" x14ac:dyDescent="0.35">
      <c r="A9" s="7">
        <v>45444</v>
      </c>
      <c r="B9" s="22">
        <v>69837</v>
      </c>
      <c r="C9" s="22">
        <v>407346</v>
      </c>
      <c r="D9" s="22">
        <v>1098102414.8199999</v>
      </c>
      <c r="E9" s="8">
        <f t="shared" si="3"/>
        <v>5.8328106877443187</v>
      </c>
      <c r="F9" s="18">
        <f t="shared" si="4"/>
        <v>15723.791325801509</v>
      </c>
      <c r="G9" s="18">
        <f t="shared" si="2"/>
        <v>2695.7486137583282</v>
      </c>
      <c r="H9" s="28"/>
    </row>
    <row r="10" spans="1:13" x14ac:dyDescent="0.35">
      <c r="A10" s="7">
        <v>45474</v>
      </c>
      <c r="B10" s="22">
        <v>69317</v>
      </c>
      <c r="C10" s="22">
        <v>406908</v>
      </c>
      <c r="D10" s="22">
        <v>1089661735.96</v>
      </c>
      <c r="E10" s="8">
        <f t="shared" si="3"/>
        <v>5.8702482796428006</v>
      </c>
      <c r="F10" s="18">
        <f t="shared" si="4"/>
        <v>15719.978302003838</v>
      </c>
      <c r="G10" s="18">
        <f t="shared" ref="G10:G21" si="5">F10/E10</f>
        <v>2677.9068879451866</v>
      </c>
      <c r="H10" s="28"/>
    </row>
    <row r="11" spans="1:13" x14ac:dyDescent="0.35">
      <c r="A11" s="7">
        <v>45505</v>
      </c>
      <c r="B11" s="22">
        <v>71246</v>
      </c>
      <c r="C11" s="22">
        <v>476288</v>
      </c>
      <c r="D11" s="22">
        <v>1282896977.4799998</v>
      </c>
      <c r="E11" s="8">
        <f t="shared" si="3"/>
        <v>6.6851191645846786</v>
      </c>
      <c r="F11" s="18">
        <f t="shared" si="4"/>
        <v>18006.582509614571</v>
      </c>
      <c r="G11" s="18">
        <f t="shared" si="5"/>
        <v>2693.5320173508458</v>
      </c>
      <c r="H11" s="28"/>
    </row>
    <row r="12" spans="1:13" x14ac:dyDescent="0.35">
      <c r="A12" s="7">
        <v>45536</v>
      </c>
      <c r="B12" s="22">
        <v>72166</v>
      </c>
      <c r="C12" s="22">
        <v>481020</v>
      </c>
      <c r="D12" s="22">
        <v>1322237366.8499994</v>
      </c>
      <c r="E12" s="8">
        <f t="shared" si="3"/>
        <v>6.6654657317850514</v>
      </c>
      <c r="F12" s="18">
        <f t="shared" si="4"/>
        <v>18322.165103372772</v>
      </c>
      <c r="G12" s="18">
        <f t="shared" si="5"/>
        <v>2748.8199385680418</v>
      </c>
      <c r="H12" s="28"/>
    </row>
    <row r="13" spans="1:13" x14ac:dyDescent="0.35">
      <c r="A13" s="7">
        <v>45566</v>
      </c>
      <c r="B13" s="22">
        <v>73787</v>
      </c>
      <c r="C13" s="22">
        <v>493005</v>
      </c>
      <c r="D13" s="22">
        <v>1404131420.0099998</v>
      </c>
      <c r="E13" s="8">
        <f t="shared" si="3"/>
        <v>6.6814615040589809</v>
      </c>
      <c r="F13" s="18">
        <f t="shared" si="4"/>
        <v>19029.523086858117</v>
      </c>
      <c r="G13" s="18">
        <f t="shared" si="5"/>
        <v>2848.1078691088323</v>
      </c>
      <c r="H13" s="28"/>
    </row>
    <row r="14" spans="1:13" x14ac:dyDescent="0.35">
      <c r="A14" s="7">
        <v>45597</v>
      </c>
      <c r="B14" s="22">
        <v>74986</v>
      </c>
      <c r="C14" s="22">
        <v>501531</v>
      </c>
      <c r="D14" s="22">
        <v>1436540238.3000002</v>
      </c>
      <c r="E14" s="8">
        <f t="shared" si="3"/>
        <v>6.6883284879844238</v>
      </c>
      <c r="F14" s="18">
        <f t="shared" si="4"/>
        <v>19157.445900568109</v>
      </c>
      <c r="G14" s="18">
        <f t="shared" si="5"/>
        <v>2864.3099595039994</v>
      </c>
      <c r="H14" s="28"/>
    </row>
    <row r="15" spans="1:13" ht="15" thickBot="1" x14ac:dyDescent="0.4">
      <c r="A15" s="9">
        <v>45627</v>
      </c>
      <c r="B15" s="23">
        <v>74607</v>
      </c>
      <c r="C15" s="23">
        <v>497966</v>
      </c>
      <c r="D15" s="23">
        <v>1422772701.8700001</v>
      </c>
      <c r="E15" s="10">
        <f t="shared" si="3"/>
        <v>6.6745211575321353</v>
      </c>
      <c r="F15" s="20">
        <f t="shared" si="4"/>
        <v>19070.230700470467</v>
      </c>
      <c r="G15" s="20">
        <f t="shared" si="5"/>
        <v>2857.1683646473857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77061</v>
      </c>
      <c r="C16" s="21">
        <v>506005</v>
      </c>
      <c r="D16" s="21">
        <v>1485362194.099999</v>
      </c>
      <c r="E16" s="5">
        <f t="shared" si="3"/>
        <v>6.5662916390911095</v>
      </c>
      <c r="F16" s="18">
        <f t="shared" si="4"/>
        <v>19275.148182608569</v>
      </c>
      <c r="G16" s="18">
        <f t="shared" si="5"/>
        <v>2935.4694006976197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78618</v>
      </c>
      <c r="C17" s="22">
        <v>524689</v>
      </c>
      <c r="D17" s="22">
        <v>1585291488.3200002</v>
      </c>
      <c r="E17" s="8">
        <f t="shared" si="3"/>
        <v>6.6739041949680731</v>
      </c>
      <c r="F17" s="18">
        <f t="shared" si="4"/>
        <v>20164.485083823045</v>
      </c>
      <c r="G17" s="18">
        <f t="shared" si="5"/>
        <v>3021.3926503509701</v>
      </c>
      <c r="H17" s="28"/>
    </row>
    <row r="18" spans="1:13" x14ac:dyDescent="0.35">
      <c r="A18" s="7">
        <v>45717</v>
      </c>
      <c r="B18" s="22">
        <v>80028</v>
      </c>
      <c r="C18" s="22">
        <v>538233</v>
      </c>
      <c r="D18" s="22">
        <v>1632546924.9299989</v>
      </c>
      <c r="E18" s="8">
        <f t="shared" si="3"/>
        <v>6.7255585545059233</v>
      </c>
      <c r="F18" s="18">
        <f t="shared" si="4"/>
        <v>20399.696667791261</v>
      </c>
      <c r="G18" s="18">
        <f t="shared" si="5"/>
        <v>3033.1602204435603</v>
      </c>
      <c r="H18" s="28"/>
    </row>
    <row r="19" spans="1:13" x14ac:dyDescent="0.35">
      <c r="A19" s="7">
        <v>45748</v>
      </c>
      <c r="B19" s="22">
        <v>83416</v>
      </c>
      <c r="C19" s="22">
        <v>556525</v>
      </c>
      <c r="D19" s="22">
        <v>1713858083</v>
      </c>
      <c r="E19" s="8">
        <f t="shared" si="3"/>
        <v>6.6716816917617727</v>
      </c>
      <c r="F19" s="18">
        <f t="shared" si="4"/>
        <v>20545.915447875708</v>
      </c>
      <c r="G19" s="18">
        <f t="shared" si="5"/>
        <v>3079.570698531063</v>
      </c>
      <c r="H19" s="28"/>
    </row>
    <row r="20" spans="1:13" x14ac:dyDescent="0.35">
      <c r="A20" s="7">
        <v>45778</v>
      </c>
      <c r="B20" s="22">
        <v>86761</v>
      </c>
      <c r="C20" s="22">
        <v>571434</v>
      </c>
      <c r="D20" s="22">
        <v>1778319104</v>
      </c>
      <c r="E20" s="8">
        <f t="shared" si="3"/>
        <v>6.5863002962160415</v>
      </c>
      <c r="F20" s="18">
        <f t="shared" si="4"/>
        <v>20496.756653335025</v>
      </c>
      <c r="G20" s="18">
        <f t="shared" si="5"/>
        <v>3112.0288677257568</v>
      </c>
      <c r="H20" s="28"/>
    </row>
    <row r="21" spans="1:13" x14ac:dyDescent="0.35">
      <c r="A21" s="7">
        <v>45809</v>
      </c>
      <c r="B21" s="22">
        <v>89912</v>
      </c>
      <c r="C21" s="22">
        <v>588427</v>
      </c>
      <c r="D21" s="22">
        <v>1845843971</v>
      </c>
      <c r="E21" s="8">
        <f t="shared" si="3"/>
        <v>6.5444768217812976</v>
      </c>
      <c r="F21" s="18">
        <f t="shared" si="4"/>
        <v>20529.450696236319</v>
      </c>
      <c r="G21" s="18">
        <f t="shared" si="5"/>
        <v>3136.9124309387566</v>
      </c>
      <c r="H21" s="28"/>
    </row>
    <row r="22" spans="1:13" x14ac:dyDescent="0.35">
      <c r="A22" s="7">
        <v>45839</v>
      </c>
      <c r="B22" s="22">
        <v>92051</v>
      </c>
      <c r="C22" s="22">
        <v>598483</v>
      </c>
      <c r="D22" s="22">
        <v>1898277167</v>
      </c>
      <c r="E22" s="8">
        <f t="shared" si="3"/>
        <v>6.5016458267699431</v>
      </c>
      <c r="F22" s="18">
        <f t="shared" si="4"/>
        <v>20622.015697819686</v>
      </c>
      <c r="G22" s="18">
        <f>F22/E22</f>
        <v>3171.8146831238314</v>
      </c>
      <c r="H22" s="28"/>
    </row>
    <row r="23" spans="1:13" x14ac:dyDescent="0.35">
      <c r="A23" s="7">
        <v>45870</v>
      </c>
      <c r="B23" s="22">
        <v>94070</v>
      </c>
      <c r="C23" s="22">
        <v>621093</v>
      </c>
      <c r="D23" s="22">
        <v>1986538406</v>
      </c>
      <c r="E23" s="8">
        <f t="shared" si="3"/>
        <v>6.602455618156692</v>
      </c>
      <c r="F23" s="18">
        <f t="shared" si="4"/>
        <v>21117.661379823534</v>
      </c>
      <c r="G23" s="18">
        <f>F23/E23</f>
        <v>3198.4556354684401</v>
      </c>
    </row>
    <row r="24" spans="1:13" x14ac:dyDescent="0.35">
      <c r="A24" s="7">
        <v>45901</v>
      </c>
      <c r="B24" s="22">
        <v>97546</v>
      </c>
      <c r="C24" s="22">
        <v>632492</v>
      </c>
      <c r="D24" s="22">
        <v>2029444412</v>
      </c>
      <c r="E24" s="8">
        <f t="shared" ref="E24:E34" si="6">IFERROR(C24/B24,"")</f>
        <v>6.4840382998790318</v>
      </c>
      <c r="F24" s="18">
        <f t="shared" ref="F24:F34" si="7">IFERROR(D24/B24,"")</f>
        <v>20804.998790314312</v>
      </c>
      <c r="G24" s="18">
        <f t="shared" ref="G24:G29" si="8">IFERROR(F24/E24,"")</f>
        <v>3208.6483497024465</v>
      </c>
    </row>
    <row r="25" spans="1:13" x14ac:dyDescent="0.35">
      <c r="A25" s="7">
        <v>45931</v>
      </c>
      <c r="B25" s="22">
        <v>101652</v>
      </c>
      <c r="C25" s="22">
        <v>648609</v>
      </c>
      <c r="D25" s="22">
        <v>2091336445</v>
      </c>
      <c r="E25" s="8">
        <f t="shared" si="6"/>
        <v>6.3806811474442213</v>
      </c>
      <c r="F25" s="18">
        <f t="shared" si="7"/>
        <v>20573.490388777398</v>
      </c>
      <c r="G25" s="18">
        <f t="shared" si="8"/>
        <v>3224.3407738714695</v>
      </c>
    </row>
    <row r="26" spans="1:13" x14ac:dyDescent="0.35">
      <c r="A26" s="7">
        <v>45962</v>
      </c>
      <c r="B26" s="22">
        <v>103756</v>
      </c>
      <c r="C26" s="22">
        <v>659808</v>
      </c>
      <c r="D26" s="22">
        <v>2178088586</v>
      </c>
      <c r="E26" s="8">
        <f t="shared" si="6"/>
        <v>6.3592274181734068</v>
      </c>
      <c r="F26" s="18">
        <f t="shared" si="7"/>
        <v>20992.410906357221</v>
      </c>
      <c r="G26" s="18">
        <f t="shared" si="8"/>
        <v>3301.094539623648</v>
      </c>
    </row>
    <row r="27" spans="1:13" ht="15" thickBot="1" x14ac:dyDescent="0.4">
      <c r="A27" s="9">
        <v>45992</v>
      </c>
      <c r="B27" s="23">
        <v>104664</v>
      </c>
      <c r="C27" s="23">
        <v>665338</v>
      </c>
      <c r="D27" s="23">
        <v>2208193488</v>
      </c>
      <c r="E27" s="10">
        <f t="shared" si="6"/>
        <v>6.3568944431705265</v>
      </c>
      <c r="F27" s="20">
        <f t="shared" si="7"/>
        <v>21097.927539555149</v>
      </c>
      <c r="G27" s="20">
        <f t="shared" si="8"/>
        <v>3318.9048092849048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90050</v>
      </c>
      <c r="C28" s="21">
        <v>485776</v>
      </c>
      <c r="D28" s="21">
        <v>1509876316</v>
      </c>
      <c r="E28" s="5">
        <f t="shared" si="6"/>
        <v>5.394514158800666</v>
      </c>
      <c r="F28" s="18">
        <f t="shared" si="7"/>
        <v>16767.088461965574</v>
      </c>
      <c r="G28" s="18">
        <f t="shared" si="8"/>
        <v>3108.1739649550409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90402</v>
      </c>
      <c r="C29" s="22">
        <v>488271</v>
      </c>
      <c r="D29" s="22">
        <v>1529667751</v>
      </c>
      <c r="E29" s="8">
        <f t="shared" si="6"/>
        <v>5.4011083825579078</v>
      </c>
      <c r="F29" s="18">
        <f t="shared" si="7"/>
        <v>16920.72908785204</v>
      </c>
      <c r="G29" s="18">
        <f t="shared" si="8"/>
        <v>3132.8253183170823</v>
      </c>
      <c r="H29" s="28"/>
    </row>
    <row r="30" spans="1:13" x14ac:dyDescent="0.35">
      <c r="A30" s="7">
        <v>46082</v>
      </c>
      <c r="B30" s="22">
        <v>91414</v>
      </c>
      <c r="C30" s="22">
        <v>501721</v>
      </c>
      <c r="D30" s="22">
        <v>1607186329</v>
      </c>
      <c r="E30" s="8">
        <f t="shared" si="6"/>
        <v>5.4884481589253289</v>
      </c>
      <c r="F30" s="18">
        <f t="shared" si="7"/>
        <v>17581.402509462445</v>
      </c>
      <c r="G30" s="18">
        <f t="shared" ref="G30" si="9">IFERROR(F30/E30,"")</f>
        <v>3203.3467385259933</v>
      </c>
      <c r="H30" s="28"/>
    </row>
    <row r="31" spans="1:13" x14ac:dyDescent="0.35">
      <c r="A31" s="7">
        <v>46113</v>
      </c>
      <c r="B31" s="22">
        <v>91708</v>
      </c>
      <c r="C31" s="22">
        <v>504820</v>
      </c>
      <c r="D31" s="22">
        <v>1642173083</v>
      </c>
      <c r="E31" s="8">
        <f t="shared" si="6"/>
        <v>5.5046451781742052</v>
      </c>
      <c r="F31" s="18">
        <f t="shared" si="7"/>
        <v>17906.541228682341</v>
      </c>
      <c r="G31" s="18">
        <f t="shared" ref="G31" si="10">IFERROR(F31/E31,"")</f>
        <v>3252.9873677746527</v>
      </c>
      <c r="H31" s="28"/>
    </row>
    <row r="32" spans="1:13" x14ac:dyDescent="0.35">
      <c r="A32" s="7">
        <v>46143</v>
      </c>
      <c r="B32" s="22">
        <v>91698</v>
      </c>
      <c r="C32" s="22">
        <v>514832</v>
      </c>
      <c r="D32" s="22">
        <v>1711916251</v>
      </c>
      <c r="E32" s="8">
        <f t="shared" si="6"/>
        <v>5.6144299766625227</v>
      </c>
      <c r="F32" s="18">
        <f t="shared" si="7"/>
        <v>18669.068583829529</v>
      </c>
      <c r="G32" s="18">
        <f t="shared" ref="G32" si="11">IFERROR(F32/E32,"")</f>
        <v>3325.1939487055974</v>
      </c>
      <c r="H32" s="28"/>
    </row>
    <row r="33" spans="1:13" x14ac:dyDescent="0.35">
      <c r="A33" s="7">
        <v>46174</v>
      </c>
      <c r="B33" s="22">
        <v>92381</v>
      </c>
      <c r="C33" s="22">
        <v>516779</v>
      </c>
      <c r="D33" s="22">
        <v>1729446836</v>
      </c>
      <c r="E33" s="8">
        <f t="shared" si="6"/>
        <v>5.5939966010326803</v>
      </c>
      <c r="F33" s="18">
        <f t="shared" si="7"/>
        <v>18720.806616079062</v>
      </c>
      <c r="G33" s="18">
        <f t="shared" ref="G33" si="12">IFERROR(F33/E33,"")</f>
        <v>3346.5888435869101</v>
      </c>
      <c r="H33" s="28"/>
    </row>
    <row r="34" spans="1:13" x14ac:dyDescent="0.35">
      <c r="A34" s="7">
        <v>46204</v>
      </c>
      <c r="B34" s="22">
        <v>92498</v>
      </c>
      <c r="C34" s="22">
        <v>520002</v>
      </c>
      <c r="D34" s="22">
        <v>1739054280</v>
      </c>
      <c r="E34" s="8">
        <f t="shared" si="6"/>
        <v>5.6217647949144842</v>
      </c>
      <c r="F34" s="18">
        <f t="shared" si="7"/>
        <v>18800.993318774461</v>
      </c>
      <c r="G34" s="18">
        <f t="shared" ref="G34" si="13">IFERROR(F34/E34,"")</f>
        <v>3344.3222910681116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B059-C448-4A5C-8005-26FF0F5783FE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J36" sqref="J36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46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201594</v>
      </c>
      <c r="C4" s="21">
        <v>1100509</v>
      </c>
      <c r="D4" s="21">
        <v>2998173086.7900109</v>
      </c>
      <c r="E4" s="5">
        <f t="shared" ref="E4:E7" si="0">C4/B4</f>
        <v>5.4590364792602957</v>
      </c>
      <c r="F4" s="18">
        <f t="shared" ref="F4:F7" si="1">D4/B4</f>
        <v>14872.332940414948</v>
      </c>
      <c r="G4" s="18">
        <f t="shared" ref="G4:G9" si="2">F4/E4</f>
        <v>2724.3512654508149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201963</v>
      </c>
      <c r="C5" s="22">
        <v>1127675</v>
      </c>
      <c r="D5" s="22">
        <v>3106272678.7200093</v>
      </c>
      <c r="E5" s="8">
        <f t="shared" si="0"/>
        <v>5.5835722384793254</v>
      </c>
      <c r="F5" s="18">
        <f t="shared" si="1"/>
        <v>15380.404721260871</v>
      </c>
      <c r="G5" s="18">
        <f t="shared" si="2"/>
        <v>2754.5814873257004</v>
      </c>
      <c r="H5" s="28"/>
    </row>
    <row r="6" spans="1:13" x14ac:dyDescent="0.35">
      <c r="A6" s="7">
        <v>45352</v>
      </c>
      <c r="B6" s="22">
        <v>202216</v>
      </c>
      <c r="C6" s="22">
        <v>1153307</v>
      </c>
      <c r="D6" s="22">
        <v>3247362057.5200114</v>
      </c>
      <c r="E6" s="8">
        <f t="shared" si="0"/>
        <v>5.7033419709617439</v>
      </c>
      <c r="F6" s="18">
        <f t="shared" si="1"/>
        <v>16058.877920243756</v>
      </c>
      <c r="G6" s="18">
        <f t="shared" si="2"/>
        <v>2815.6961307960601</v>
      </c>
      <c r="H6" s="28"/>
    </row>
    <row r="7" spans="1:13" x14ac:dyDescent="0.35">
      <c r="A7" s="7">
        <v>45383</v>
      </c>
      <c r="B7" s="22">
        <v>203602</v>
      </c>
      <c r="C7" s="22">
        <v>1166825</v>
      </c>
      <c r="D7" s="22">
        <v>3336457769.4000082</v>
      </c>
      <c r="E7" s="8">
        <f t="shared" si="0"/>
        <v>5.7309112877083725</v>
      </c>
      <c r="F7" s="18">
        <f t="shared" si="1"/>
        <v>16387.156164477798</v>
      </c>
      <c r="G7" s="18">
        <f t="shared" si="2"/>
        <v>2859.4328793092436</v>
      </c>
      <c r="H7" s="28"/>
    </row>
    <row r="8" spans="1:13" x14ac:dyDescent="0.35">
      <c r="A8" s="7">
        <v>45413</v>
      </c>
      <c r="B8" s="22">
        <v>204649</v>
      </c>
      <c r="C8" s="22">
        <v>1180879</v>
      </c>
      <c r="D8" s="22">
        <v>3450869160.139986</v>
      </c>
      <c r="E8" s="8">
        <f t="shared" ref="E8:E23" si="3">C8/B8</f>
        <v>5.7702651857570766</v>
      </c>
      <c r="F8" s="18">
        <f t="shared" ref="F8:F23" si="4">D8/B8</f>
        <v>16862.37978265218</v>
      </c>
      <c r="G8" s="18">
        <f t="shared" si="2"/>
        <v>2922.2885326438918</v>
      </c>
      <c r="H8" s="28"/>
    </row>
    <row r="9" spans="1:13" x14ac:dyDescent="0.35">
      <c r="A9" s="7">
        <v>45444</v>
      </c>
      <c r="B9" s="22">
        <v>203305</v>
      </c>
      <c r="C9" s="22">
        <v>1141056</v>
      </c>
      <c r="D9" s="22">
        <v>3303403538.96</v>
      </c>
      <c r="E9" s="8">
        <f t="shared" si="3"/>
        <v>5.6125328939278427</v>
      </c>
      <c r="F9" s="18">
        <f t="shared" si="4"/>
        <v>16248.511049703648</v>
      </c>
      <c r="G9" s="18">
        <f t="shared" si="2"/>
        <v>2895.0406807027875</v>
      </c>
      <c r="H9" s="28"/>
    </row>
    <row r="10" spans="1:13" x14ac:dyDescent="0.35">
      <c r="A10" s="7">
        <v>45474</v>
      </c>
      <c r="B10" s="22">
        <v>202220</v>
      </c>
      <c r="C10" s="22">
        <v>1135848</v>
      </c>
      <c r="D10" s="22">
        <v>3285777672.25</v>
      </c>
      <c r="E10" s="8">
        <f t="shared" si="3"/>
        <v>5.6168924933241025</v>
      </c>
      <c r="F10" s="18">
        <f t="shared" si="4"/>
        <v>16248.529681782218</v>
      </c>
      <c r="G10" s="18">
        <f t="shared" ref="G10:G21" si="5">F10/E10</f>
        <v>2892.796987140885</v>
      </c>
      <c r="H10" s="28"/>
    </row>
    <row r="11" spans="1:13" x14ac:dyDescent="0.35">
      <c r="A11" s="7">
        <v>45505</v>
      </c>
      <c r="B11" s="22">
        <v>201472</v>
      </c>
      <c r="C11" s="22">
        <v>1145533</v>
      </c>
      <c r="D11" s="22">
        <v>3368637180.1100063</v>
      </c>
      <c r="E11" s="8">
        <f t="shared" si="3"/>
        <v>5.685817384053367</v>
      </c>
      <c r="F11" s="18">
        <f t="shared" si="4"/>
        <v>16720.125774847158</v>
      </c>
      <c r="G11" s="18">
        <f t="shared" si="5"/>
        <v>2940.6723159524927</v>
      </c>
      <c r="H11" s="28"/>
    </row>
    <row r="12" spans="1:13" x14ac:dyDescent="0.35">
      <c r="A12" s="7">
        <v>45536</v>
      </c>
      <c r="B12" s="22">
        <v>201508</v>
      </c>
      <c r="C12" s="22">
        <v>1158584</v>
      </c>
      <c r="D12" s="22">
        <v>3452774032.1700144</v>
      </c>
      <c r="E12" s="8">
        <f t="shared" si="3"/>
        <v>5.7495682553546263</v>
      </c>
      <c r="F12" s="18">
        <f t="shared" si="4"/>
        <v>17134.674713510205</v>
      </c>
      <c r="G12" s="18">
        <f t="shared" si="5"/>
        <v>2980.167197346083</v>
      </c>
      <c r="H12" s="28"/>
    </row>
    <row r="13" spans="1:13" x14ac:dyDescent="0.35">
      <c r="A13" s="7">
        <v>45566</v>
      </c>
      <c r="B13" s="22">
        <v>198953</v>
      </c>
      <c r="C13" s="22">
        <v>1170254</v>
      </c>
      <c r="D13" s="22">
        <v>3570277282.0000052</v>
      </c>
      <c r="E13" s="8">
        <f t="shared" si="3"/>
        <v>5.8820625976989538</v>
      </c>
      <c r="F13" s="18">
        <f t="shared" si="4"/>
        <v>17945.330213668582</v>
      </c>
      <c r="G13" s="18">
        <f t="shared" si="5"/>
        <v>3050.8567217031564</v>
      </c>
      <c r="H13" s="28"/>
    </row>
    <row r="14" spans="1:13" x14ac:dyDescent="0.35">
      <c r="A14" s="7">
        <v>45597</v>
      </c>
      <c r="B14" s="22">
        <v>198031</v>
      </c>
      <c r="C14" s="22">
        <v>1121938</v>
      </c>
      <c r="D14" s="22">
        <v>3377452625.140007</v>
      </c>
      <c r="E14" s="8">
        <f t="shared" si="3"/>
        <v>5.6654665178684143</v>
      </c>
      <c r="F14" s="18">
        <f t="shared" si="4"/>
        <v>17055.171287020756</v>
      </c>
      <c r="G14" s="18">
        <f t="shared" si="5"/>
        <v>3010.3736794190118</v>
      </c>
      <c r="H14" s="28"/>
    </row>
    <row r="15" spans="1:13" ht="15" thickBot="1" x14ac:dyDescent="0.4">
      <c r="A15" s="9">
        <v>45627</v>
      </c>
      <c r="B15" s="23">
        <v>192231</v>
      </c>
      <c r="C15" s="23">
        <v>1093102</v>
      </c>
      <c r="D15" s="23">
        <v>3316971881.5800066</v>
      </c>
      <c r="E15" s="10">
        <f t="shared" si="3"/>
        <v>5.6863981355764679</v>
      </c>
      <c r="F15" s="20">
        <f t="shared" si="4"/>
        <v>17255.13513210672</v>
      </c>
      <c r="G15" s="20">
        <f t="shared" si="5"/>
        <v>3034.4577922096992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196056</v>
      </c>
      <c r="C16" s="21">
        <v>1107438</v>
      </c>
      <c r="D16" s="21">
        <v>3408042477.1700077</v>
      </c>
      <c r="E16" s="5">
        <f t="shared" si="3"/>
        <v>5.6485799975517201</v>
      </c>
      <c r="F16" s="18">
        <f t="shared" si="4"/>
        <v>17383.005249367568</v>
      </c>
      <c r="G16" s="18">
        <f t="shared" si="5"/>
        <v>3077.411536510403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199943</v>
      </c>
      <c r="C17" s="22">
        <v>1141216</v>
      </c>
      <c r="D17" s="22">
        <v>3606199212.3100042</v>
      </c>
      <c r="E17" s="8">
        <f t="shared" si="3"/>
        <v>5.7077066964084766</v>
      </c>
      <c r="F17" s="18">
        <f t="shared" si="4"/>
        <v>18036.13636041274</v>
      </c>
      <c r="G17" s="18">
        <f t="shared" si="5"/>
        <v>3159.9620162265551</v>
      </c>
      <c r="H17" s="28"/>
    </row>
    <row r="18" spans="1:13" x14ac:dyDescent="0.35">
      <c r="A18" s="7">
        <v>45717</v>
      </c>
      <c r="B18" s="22">
        <v>203727</v>
      </c>
      <c r="C18" s="22">
        <v>1174840</v>
      </c>
      <c r="D18" s="22">
        <v>3749247711.3300052</v>
      </c>
      <c r="E18" s="8">
        <f t="shared" si="3"/>
        <v>5.7667368586392573</v>
      </c>
      <c r="F18" s="18">
        <f t="shared" si="4"/>
        <v>18403.29318808997</v>
      </c>
      <c r="G18" s="18">
        <f t="shared" si="5"/>
        <v>3191.2836738023948</v>
      </c>
      <c r="H18" s="28"/>
    </row>
    <row r="19" spans="1:13" x14ac:dyDescent="0.35">
      <c r="A19" s="7">
        <v>45748</v>
      </c>
      <c r="B19" s="22">
        <v>207244</v>
      </c>
      <c r="C19" s="22">
        <v>1206629</v>
      </c>
      <c r="D19" s="22">
        <v>3899533710</v>
      </c>
      <c r="E19" s="8">
        <f t="shared" si="3"/>
        <v>5.8222626469282588</v>
      </c>
      <c r="F19" s="18">
        <f t="shared" si="4"/>
        <v>18816.147680994385</v>
      </c>
      <c r="G19" s="18">
        <f t="shared" si="5"/>
        <v>3231.7586515822181</v>
      </c>
      <c r="H19" s="28"/>
    </row>
    <row r="20" spans="1:13" x14ac:dyDescent="0.35">
      <c r="A20" s="7">
        <v>45778</v>
      </c>
      <c r="B20" s="22">
        <v>211801</v>
      </c>
      <c r="C20" s="22">
        <v>1238447</v>
      </c>
      <c r="D20" s="22">
        <v>4061965508</v>
      </c>
      <c r="E20" s="8">
        <f t="shared" si="3"/>
        <v>5.8472197959405294</v>
      </c>
      <c r="F20" s="18">
        <f t="shared" si="4"/>
        <v>19178.216854500213</v>
      </c>
      <c r="G20" s="18">
        <f t="shared" si="5"/>
        <v>3279.8864287288834</v>
      </c>
      <c r="H20" s="28"/>
    </row>
    <row r="21" spans="1:13" x14ac:dyDescent="0.35">
      <c r="A21" s="7">
        <v>45809</v>
      </c>
      <c r="B21" s="22">
        <v>213664</v>
      </c>
      <c r="C21" s="22">
        <v>1261582</v>
      </c>
      <c r="D21" s="22">
        <v>4150608176</v>
      </c>
      <c r="E21" s="8">
        <f t="shared" si="3"/>
        <v>5.9045136288752431</v>
      </c>
      <c r="F21" s="18">
        <f t="shared" si="4"/>
        <v>19425.865733113675</v>
      </c>
      <c r="G21" s="18">
        <f t="shared" si="5"/>
        <v>3290.002691858318</v>
      </c>
      <c r="H21" s="28"/>
    </row>
    <row r="22" spans="1:13" x14ac:dyDescent="0.35">
      <c r="A22" s="7">
        <v>45839</v>
      </c>
      <c r="B22" s="22">
        <v>218360</v>
      </c>
      <c r="C22" s="22">
        <v>1287603</v>
      </c>
      <c r="D22" s="22">
        <v>4264189378</v>
      </c>
      <c r="E22" s="8">
        <f t="shared" si="3"/>
        <v>5.8966981132075471</v>
      </c>
      <c r="F22" s="18">
        <f t="shared" si="4"/>
        <v>19528.253242352079</v>
      </c>
      <c r="G22" s="18">
        <f>F22/E22</f>
        <v>3311.726811757972</v>
      </c>
      <c r="H22" s="28"/>
    </row>
    <row r="23" spans="1:13" x14ac:dyDescent="0.35">
      <c r="A23" s="7">
        <v>45870</v>
      </c>
      <c r="B23" s="22">
        <v>221433</v>
      </c>
      <c r="C23" s="22">
        <v>1317254</v>
      </c>
      <c r="D23" s="22">
        <v>4410668229</v>
      </c>
      <c r="E23" s="8">
        <f t="shared" si="3"/>
        <v>5.9487700568569277</v>
      </c>
      <c r="F23" s="18">
        <f t="shared" si="4"/>
        <v>19918.748465675846</v>
      </c>
      <c r="G23" s="18">
        <f>F23/E23</f>
        <v>3348.3809720828326</v>
      </c>
    </row>
    <row r="24" spans="1:13" x14ac:dyDescent="0.35">
      <c r="A24" s="7">
        <v>45901</v>
      </c>
      <c r="B24" s="22">
        <v>227301</v>
      </c>
      <c r="C24" s="22">
        <v>1329791</v>
      </c>
      <c r="D24" s="22">
        <v>4447731464</v>
      </c>
      <c r="E24" s="8">
        <f t="shared" ref="E24:E34" si="6">IFERROR(C24/B24,"")</f>
        <v>5.8503526161345532</v>
      </c>
      <c r="F24" s="18">
        <f t="shared" ref="F24:F34" si="7">IFERROR(D24/B24,"")</f>
        <v>19567.584234121274</v>
      </c>
      <c r="G24" s="18">
        <f t="shared" ref="G24:G29" si="8">IFERROR(F24/E24,"")</f>
        <v>3344.6845887812442</v>
      </c>
    </row>
    <row r="25" spans="1:13" x14ac:dyDescent="0.35">
      <c r="A25" s="7">
        <v>45931</v>
      </c>
      <c r="B25" s="22">
        <v>236156</v>
      </c>
      <c r="C25" s="22">
        <v>1361197</v>
      </c>
      <c r="D25" s="22">
        <v>4530136722</v>
      </c>
      <c r="E25" s="8">
        <f t="shared" si="6"/>
        <v>5.7639738139196126</v>
      </c>
      <c r="F25" s="18">
        <f t="shared" si="7"/>
        <v>19182.814419282171</v>
      </c>
      <c r="G25" s="18">
        <f t="shared" si="8"/>
        <v>3328.053707141582</v>
      </c>
    </row>
    <row r="26" spans="1:13" x14ac:dyDescent="0.35">
      <c r="A26" s="7">
        <v>45962</v>
      </c>
      <c r="B26" s="22">
        <v>243765</v>
      </c>
      <c r="C26" s="22">
        <v>1389877</v>
      </c>
      <c r="D26" s="22">
        <v>4718499465</v>
      </c>
      <c r="E26" s="8">
        <f t="shared" si="6"/>
        <v>5.7017086128033148</v>
      </c>
      <c r="F26" s="18">
        <f t="shared" si="7"/>
        <v>19356.755338133036</v>
      </c>
      <c r="G26" s="18">
        <f t="shared" si="8"/>
        <v>3394.904344053466</v>
      </c>
    </row>
    <row r="27" spans="1:13" ht="15" thickBot="1" x14ac:dyDescent="0.4">
      <c r="A27" s="9">
        <v>45992</v>
      </c>
      <c r="B27" s="23">
        <v>242775</v>
      </c>
      <c r="C27" s="23">
        <v>1396048</v>
      </c>
      <c r="D27" s="23">
        <v>4741374021</v>
      </c>
      <c r="E27" s="10">
        <f t="shared" si="6"/>
        <v>5.7503779219441871</v>
      </c>
      <c r="F27" s="20">
        <f t="shared" si="7"/>
        <v>19529.910497374112</v>
      </c>
      <c r="G27" s="20">
        <f t="shared" si="8"/>
        <v>3396.2829508727496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208948</v>
      </c>
      <c r="C28" s="21">
        <v>1034781</v>
      </c>
      <c r="D28" s="21">
        <v>3161496920</v>
      </c>
      <c r="E28" s="5">
        <f t="shared" si="6"/>
        <v>4.9523374236652185</v>
      </c>
      <c r="F28" s="18">
        <f t="shared" si="7"/>
        <v>15130.54405880889</v>
      </c>
      <c r="G28" s="18">
        <f t="shared" si="8"/>
        <v>3055.2328656981522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211014</v>
      </c>
      <c r="C29" s="22">
        <v>1042601</v>
      </c>
      <c r="D29" s="22">
        <v>3197806953</v>
      </c>
      <c r="E29" s="8">
        <f t="shared" si="6"/>
        <v>4.9409091339911093</v>
      </c>
      <c r="F29" s="18">
        <f t="shared" si="7"/>
        <v>15154.477679206118</v>
      </c>
      <c r="G29" s="18">
        <f t="shared" si="8"/>
        <v>3067.1435697836469</v>
      </c>
      <c r="H29" s="28"/>
    </row>
    <row r="30" spans="1:13" x14ac:dyDescent="0.35">
      <c r="A30" s="7">
        <v>46082</v>
      </c>
      <c r="B30" s="22">
        <v>211005</v>
      </c>
      <c r="C30" s="22">
        <v>1064817</v>
      </c>
      <c r="D30" s="22">
        <v>3325596266</v>
      </c>
      <c r="E30" s="8">
        <f t="shared" si="6"/>
        <v>5.0464064832586901</v>
      </c>
      <c r="F30" s="18">
        <f t="shared" si="7"/>
        <v>15760.746266676146</v>
      </c>
      <c r="G30" s="18">
        <f t="shared" ref="G30" si="9">IFERROR(F30/E30,"")</f>
        <v>3123.1622579278883</v>
      </c>
      <c r="H30" s="28"/>
    </row>
    <row r="31" spans="1:13" x14ac:dyDescent="0.35">
      <c r="A31" s="7">
        <v>46113</v>
      </c>
      <c r="B31" s="22">
        <v>212110</v>
      </c>
      <c r="C31" s="22">
        <v>1075438</v>
      </c>
      <c r="D31" s="22">
        <v>3382714542</v>
      </c>
      <c r="E31" s="8">
        <f t="shared" si="6"/>
        <v>5.0701899957569188</v>
      </c>
      <c r="F31" s="18">
        <f t="shared" si="7"/>
        <v>15947.925802649568</v>
      </c>
      <c r="G31" s="18">
        <f t="shared" ref="G31" si="10">IFERROR(F31/E31,"")</f>
        <v>3145.4296221632485</v>
      </c>
      <c r="H31" s="28"/>
    </row>
    <row r="32" spans="1:13" x14ac:dyDescent="0.35">
      <c r="A32" s="7">
        <v>46143</v>
      </c>
      <c r="B32" s="22">
        <v>214259</v>
      </c>
      <c r="C32" s="22">
        <v>1101309</v>
      </c>
      <c r="D32" s="22">
        <v>3548030327</v>
      </c>
      <c r="E32" s="8">
        <f t="shared" si="6"/>
        <v>5.1400827969886915</v>
      </c>
      <c r="F32" s="18">
        <f t="shared" si="7"/>
        <v>16559.539281897145</v>
      </c>
      <c r="G32" s="18">
        <f t="shared" ref="G32" si="11">IFERROR(F32/E32,"")</f>
        <v>3221.6483539133887</v>
      </c>
      <c r="H32" s="28"/>
    </row>
    <row r="33" spans="1:13" x14ac:dyDescent="0.35">
      <c r="A33" s="7">
        <v>46174</v>
      </c>
      <c r="B33" s="22">
        <v>216291</v>
      </c>
      <c r="C33" s="22">
        <v>1110512</v>
      </c>
      <c r="D33" s="22">
        <v>3583255641</v>
      </c>
      <c r="E33" s="8">
        <f t="shared" si="6"/>
        <v>5.134342159405616</v>
      </c>
      <c r="F33" s="18">
        <f t="shared" si="7"/>
        <v>16566.82728823668</v>
      </c>
      <c r="G33" s="18">
        <f t="shared" ref="G33" si="12">IFERROR(F33/E33,"")</f>
        <v>3226.6698973086282</v>
      </c>
      <c r="H33" s="28"/>
    </row>
    <row r="34" spans="1:13" x14ac:dyDescent="0.35">
      <c r="A34" s="7">
        <v>46204</v>
      </c>
      <c r="B34" s="22">
        <v>217108</v>
      </c>
      <c r="C34" s="22">
        <v>1112718</v>
      </c>
      <c r="D34" s="22">
        <v>3567241843</v>
      </c>
      <c r="E34" s="8">
        <f t="shared" si="6"/>
        <v>5.1251819371004297</v>
      </c>
      <c r="F34" s="18">
        <f t="shared" si="7"/>
        <v>16430.7249986182</v>
      </c>
      <c r="G34" s="18">
        <f t="shared" ref="G34" si="13">IFERROR(F34/E34,"")</f>
        <v>3205.8813131449297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46A3-2AA5-45EA-B3F7-0EDD346912D1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I36" sqref="I36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57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43956</v>
      </c>
      <c r="C4" s="21">
        <v>242463</v>
      </c>
      <c r="D4" s="21">
        <v>680973586.16999984</v>
      </c>
      <c r="E4" s="5">
        <f t="shared" ref="E4:E7" si="0">C4/B4</f>
        <v>5.5160387660387658</v>
      </c>
      <c r="F4" s="18">
        <f t="shared" ref="F4:F7" si="1">D4/B4</f>
        <v>15492.164577532074</v>
      </c>
      <c r="G4" s="18">
        <f t="shared" ref="G4:G9" si="2">F4/E4</f>
        <v>2808.5670232983998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44023</v>
      </c>
      <c r="C5" s="22">
        <v>244099</v>
      </c>
      <c r="D5" s="22">
        <v>695669904.76999998</v>
      </c>
      <c r="E5" s="8">
        <f t="shared" si="0"/>
        <v>5.5448061240715081</v>
      </c>
      <c r="F5" s="18">
        <f t="shared" si="1"/>
        <v>15802.419298321332</v>
      </c>
      <c r="G5" s="18">
        <f t="shared" si="2"/>
        <v>2849.9498349849855</v>
      </c>
      <c r="H5" s="28"/>
    </row>
    <row r="6" spans="1:13" x14ac:dyDescent="0.35">
      <c r="A6" s="7">
        <v>45352</v>
      </c>
      <c r="B6" s="22">
        <v>44548</v>
      </c>
      <c r="C6" s="22">
        <v>253337</v>
      </c>
      <c r="D6" s="22">
        <v>731807372.10999978</v>
      </c>
      <c r="E6" s="8">
        <f t="shared" si="0"/>
        <v>5.6868321810182278</v>
      </c>
      <c r="F6" s="18">
        <f t="shared" si="1"/>
        <v>16427.39005364999</v>
      </c>
      <c r="G6" s="18">
        <f t="shared" si="2"/>
        <v>2888.6715012414284</v>
      </c>
      <c r="H6" s="28"/>
    </row>
    <row r="7" spans="1:13" x14ac:dyDescent="0.35">
      <c r="A7" s="7">
        <v>45383</v>
      </c>
      <c r="B7" s="22">
        <v>44697</v>
      </c>
      <c r="C7" s="22">
        <v>254370</v>
      </c>
      <c r="D7" s="22">
        <v>752891066.29000008</v>
      </c>
      <c r="E7" s="8">
        <f t="shared" si="0"/>
        <v>5.6909859722128999</v>
      </c>
      <c r="F7" s="18">
        <f t="shared" si="1"/>
        <v>16844.331080161981</v>
      </c>
      <c r="G7" s="18">
        <f t="shared" si="2"/>
        <v>2959.8264979753903</v>
      </c>
      <c r="H7" s="28"/>
    </row>
    <row r="8" spans="1:13" x14ac:dyDescent="0.35">
      <c r="A8" s="7">
        <v>45413</v>
      </c>
      <c r="B8" s="22">
        <v>45501</v>
      </c>
      <c r="C8" s="22">
        <v>258444</v>
      </c>
      <c r="D8" s="22">
        <v>777319053.05000067</v>
      </c>
      <c r="E8" s="8">
        <f t="shared" ref="E8:E23" si="3">C8/B8</f>
        <v>5.6799630777345556</v>
      </c>
      <c r="F8" s="18">
        <f t="shared" ref="F8:F23" si="4">D8/B8</f>
        <v>17083.559769016079</v>
      </c>
      <c r="G8" s="18">
        <f t="shared" si="2"/>
        <v>3007.6885245933377</v>
      </c>
      <c r="H8" s="28"/>
    </row>
    <row r="9" spans="1:13" x14ac:dyDescent="0.35">
      <c r="A9" s="7">
        <v>45444</v>
      </c>
      <c r="B9" s="22">
        <v>45629</v>
      </c>
      <c r="C9" s="22">
        <v>258975</v>
      </c>
      <c r="D9" s="22">
        <v>805526197.55999994</v>
      </c>
      <c r="E9" s="8">
        <f t="shared" si="3"/>
        <v>5.6756667908566918</v>
      </c>
      <c r="F9" s="18">
        <f t="shared" si="4"/>
        <v>17653.820981393412</v>
      </c>
      <c r="G9" s="18">
        <f t="shared" si="2"/>
        <v>3110.4399944396177</v>
      </c>
      <c r="H9" s="28"/>
    </row>
    <row r="10" spans="1:13" x14ac:dyDescent="0.35">
      <c r="A10" s="7">
        <v>45474</v>
      </c>
      <c r="B10" s="22">
        <v>45277</v>
      </c>
      <c r="C10" s="22">
        <v>256521</v>
      </c>
      <c r="D10" s="22">
        <v>795484831.19000006</v>
      </c>
      <c r="E10" s="8">
        <f t="shared" si="3"/>
        <v>5.6655918015769595</v>
      </c>
      <c r="F10" s="18">
        <f t="shared" si="4"/>
        <v>17569.291940499592</v>
      </c>
      <c r="G10" s="18">
        <f t="shared" ref="G10:G21" si="5">F10/E10</f>
        <v>3101.0514974992302</v>
      </c>
      <c r="H10" s="28"/>
    </row>
    <row r="11" spans="1:13" x14ac:dyDescent="0.35">
      <c r="A11" s="7">
        <v>45505</v>
      </c>
      <c r="B11" s="22">
        <v>45632</v>
      </c>
      <c r="C11" s="22">
        <v>260202</v>
      </c>
      <c r="D11" s="22">
        <v>822596679.63999927</v>
      </c>
      <c r="E11" s="8">
        <f t="shared" si="3"/>
        <v>5.7021826788218792</v>
      </c>
      <c r="F11" s="18">
        <f t="shared" si="4"/>
        <v>18026.750518057488</v>
      </c>
      <c r="G11" s="18">
        <f t="shared" si="5"/>
        <v>3161.3772363010248</v>
      </c>
      <c r="H11" s="28"/>
    </row>
    <row r="12" spans="1:13" x14ac:dyDescent="0.35">
      <c r="A12" s="7">
        <v>45536</v>
      </c>
      <c r="B12" s="22">
        <v>45719</v>
      </c>
      <c r="C12" s="22">
        <v>262162</v>
      </c>
      <c r="D12" s="22">
        <v>837717313.21999967</v>
      </c>
      <c r="E12" s="8">
        <f t="shared" si="3"/>
        <v>5.7342024103764295</v>
      </c>
      <c r="F12" s="18">
        <f t="shared" si="4"/>
        <v>18323.176649095556</v>
      </c>
      <c r="G12" s="18">
        <f t="shared" si="5"/>
        <v>3195.4185321289883</v>
      </c>
      <c r="H12" s="28"/>
    </row>
    <row r="13" spans="1:13" x14ac:dyDescent="0.35">
      <c r="A13" s="7">
        <v>45566</v>
      </c>
      <c r="B13" s="22">
        <v>46392</v>
      </c>
      <c r="C13" s="22">
        <v>268149</v>
      </c>
      <c r="D13" s="22">
        <v>877796948.17999971</v>
      </c>
      <c r="E13" s="8">
        <f t="shared" si="3"/>
        <v>5.7800698396275223</v>
      </c>
      <c r="F13" s="18">
        <f t="shared" si="4"/>
        <v>18921.299969391268</v>
      </c>
      <c r="G13" s="18">
        <f t="shared" si="5"/>
        <v>3273.5417554419359</v>
      </c>
      <c r="H13" s="28"/>
    </row>
    <row r="14" spans="1:13" x14ac:dyDescent="0.35">
      <c r="A14" s="7">
        <v>45597</v>
      </c>
      <c r="B14" s="22">
        <v>46506</v>
      </c>
      <c r="C14" s="22">
        <v>251866</v>
      </c>
      <c r="D14" s="22">
        <v>800483603.32000017</v>
      </c>
      <c r="E14" s="8">
        <f t="shared" si="3"/>
        <v>5.4157743086913515</v>
      </c>
      <c r="F14" s="18">
        <f t="shared" si="4"/>
        <v>17212.480181481962</v>
      </c>
      <c r="G14" s="18">
        <f t="shared" si="5"/>
        <v>3178.2122371419728</v>
      </c>
      <c r="H14" s="28"/>
    </row>
    <row r="15" spans="1:13" ht="15" thickBot="1" x14ac:dyDescent="0.4">
      <c r="A15" s="9">
        <v>45627</v>
      </c>
      <c r="B15" s="23">
        <v>46833</v>
      </c>
      <c r="C15" s="23">
        <v>253073</v>
      </c>
      <c r="D15" s="23">
        <v>811528245.36999977</v>
      </c>
      <c r="E15" s="10">
        <f t="shared" si="3"/>
        <v>5.403732410906839</v>
      </c>
      <c r="F15" s="20">
        <f t="shared" si="4"/>
        <v>17328.128571093028</v>
      </c>
      <c r="G15" s="20">
        <f t="shared" si="5"/>
        <v>3206.6962709178765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47742</v>
      </c>
      <c r="C16" s="21">
        <v>259778</v>
      </c>
      <c r="D16" s="21">
        <v>838844077.98999929</v>
      </c>
      <c r="E16" s="5">
        <f t="shared" si="3"/>
        <v>5.4412885928532528</v>
      </c>
      <c r="F16" s="18">
        <f t="shared" si="4"/>
        <v>17570.358970927053</v>
      </c>
      <c r="G16" s="18">
        <f t="shared" si="5"/>
        <v>3229.0805148626878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48247</v>
      </c>
      <c r="C17" s="22">
        <v>266887</v>
      </c>
      <c r="D17" s="22">
        <v>890482589.71999919</v>
      </c>
      <c r="E17" s="8">
        <f t="shared" si="3"/>
        <v>5.5316807262627732</v>
      </c>
      <c r="F17" s="18">
        <f t="shared" si="4"/>
        <v>18456.745284059096</v>
      </c>
      <c r="G17" s="18">
        <f t="shared" si="5"/>
        <v>3336.5528846290722</v>
      </c>
      <c r="H17" s="28"/>
    </row>
    <row r="18" spans="1:13" x14ac:dyDescent="0.35">
      <c r="A18" s="7">
        <v>45717</v>
      </c>
      <c r="B18" s="22">
        <v>49314</v>
      </c>
      <c r="C18" s="22">
        <v>271751</v>
      </c>
      <c r="D18" s="22">
        <v>912276078.81999958</v>
      </c>
      <c r="E18" s="8">
        <f t="shared" si="3"/>
        <v>5.5106257857809142</v>
      </c>
      <c r="F18" s="18">
        <f t="shared" si="4"/>
        <v>18499.332417163474</v>
      </c>
      <c r="G18" s="18">
        <f t="shared" si="5"/>
        <v>3357.0293350162447</v>
      </c>
      <c r="H18" s="28"/>
    </row>
    <row r="19" spans="1:13" x14ac:dyDescent="0.35">
      <c r="A19" s="7">
        <v>45748</v>
      </c>
      <c r="B19" s="22">
        <v>50528</v>
      </c>
      <c r="C19" s="22">
        <v>277713</v>
      </c>
      <c r="D19" s="22">
        <v>941181908</v>
      </c>
      <c r="E19" s="8">
        <f t="shared" si="3"/>
        <v>5.4962199176694106</v>
      </c>
      <c r="F19" s="18">
        <f t="shared" si="4"/>
        <v>18626.937697910071</v>
      </c>
      <c r="G19" s="18">
        <f t="shared" si="5"/>
        <v>3389.0451941392739</v>
      </c>
      <c r="H19" s="28"/>
    </row>
    <row r="20" spans="1:13" x14ac:dyDescent="0.35">
      <c r="A20" s="7">
        <v>45778</v>
      </c>
      <c r="B20" s="22">
        <v>51178</v>
      </c>
      <c r="C20" s="22">
        <v>280540</v>
      </c>
      <c r="D20" s="22">
        <v>963587264</v>
      </c>
      <c r="E20" s="8">
        <f t="shared" si="3"/>
        <v>5.4816522724608232</v>
      </c>
      <c r="F20" s="18">
        <f t="shared" si="4"/>
        <v>18828.153972410018</v>
      </c>
      <c r="G20" s="18">
        <f t="shared" si="5"/>
        <v>3434.7589078206311</v>
      </c>
      <c r="H20" s="28"/>
    </row>
    <row r="21" spans="1:13" x14ac:dyDescent="0.35">
      <c r="A21" s="7">
        <v>45809</v>
      </c>
      <c r="B21" s="22">
        <v>51576</v>
      </c>
      <c r="C21" s="22">
        <v>285265</v>
      </c>
      <c r="D21" s="22">
        <v>949743697</v>
      </c>
      <c r="E21" s="8">
        <f t="shared" si="3"/>
        <v>5.5309640142702028</v>
      </c>
      <c r="F21" s="18">
        <f t="shared" si="4"/>
        <v>18414.450461454941</v>
      </c>
      <c r="G21" s="18">
        <f t="shared" si="5"/>
        <v>3329.3383240145131</v>
      </c>
      <c r="H21" s="28"/>
    </row>
    <row r="22" spans="1:13" x14ac:dyDescent="0.35">
      <c r="A22" s="7">
        <v>45839</v>
      </c>
      <c r="B22" s="22">
        <v>52575</v>
      </c>
      <c r="C22" s="22">
        <v>289221</v>
      </c>
      <c r="D22" s="22">
        <v>968203444</v>
      </c>
      <c r="E22" s="8">
        <f t="shared" si="3"/>
        <v>5.5011126961483594</v>
      </c>
      <c r="F22" s="18">
        <f t="shared" si="4"/>
        <v>18415.662272943413</v>
      </c>
      <c r="G22" s="18">
        <f>F22/E22</f>
        <v>3347.6249788224227</v>
      </c>
      <c r="H22" s="28"/>
    </row>
    <row r="23" spans="1:13" x14ac:dyDescent="0.35">
      <c r="A23" s="7">
        <v>45870</v>
      </c>
      <c r="B23" s="22">
        <v>53567</v>
      </c>
      <c r="C23" s="22">
        <v>293384</v>
      </c>
      <c r="D23" s="22">
        <v>984608339</v>
      </c>
      <c r="E23" s="8">
        <f t="shared" si="3"/>
        <v>5.4769540948718429</v>
      </c>
      <c r="F23" s="18">
        <f t="shared" si="4"/>
        <v>18380.875147012153</v>
      </c>
      <c r="G23" s="18">
        <f>F23/E23</f>
        <v>3356.0396579227222</v>
      </c>
    </row>
    <row r="24" spans="1:13" x14ac:dyDescent="0.35">
      <c r="A24" s="7">
        <v>45901</v>
      </c>
      <c r="B24" s="22">
        <v>54901</v>
      </c>
      <c r="C24" s="22">
        <v>298140</v>
      </c>
      <c r="D24" s="22">
        <v>994731993</v>
      </c>
      <c r="E24" s="8">
        <f t="shared" ref="E24:E34" si="6">IFERROR(C24/B24,"")</f>
        <v>5.4305021766452342</v>
      </c>
      <c r="F24" s="18">
        <f t="shared" ref="F24:F34" si="7">IFERROR(D24/B24,"")</f>
        <v>18118.649806014462</v>
      </c>
      <c r="G24" s="18">
        <f t="shared" ref="G24:G29" si="8">IFERROR(F24/E24,"")</f>
        <v>3336.4593580197225</v>
      </c>
    </row>
    <row r="25" spans="1:13" x14ac:dyDescent="0.35">
      <c r="A25" s="7">
        <v>45931</v>
      </c>
      <c r="B25" s="22">
        <v>56762</v>
      </c>
      <c r="C25" s="22">
        <v>307193</v>
      </c>
      <c r="D25" s="22">
        <v>1018484241</v>
      </c>
      <c r="E25" s="8">
        <f t="shared" si="6"/>
        <v>5.4119481343152112</v>
      </c>
      <c r="F25" s="18">
        <f t="shared" si="7"/>
        <v>17943.064744018884</v>
      </c>
      <c r="G25" s="18">
        <f t="shared" si="8"/>
        <v>3315.4539361248462</v>
      </c>
    </row>
    <row r="26" spans="1:13" x14ac:dyDescent="0.35">
      <c r="A26" s="7">
        <v>45962</v>
      </c>
      <c r="B26" s="22">
        <v>58039</v>
      </c>
      <c r="C26" s="22">
        <v>310981</v>
      </c>
      <c r="D26" s="22">
        <v>1081237731</v>
      </c>
      <c r="E26" s="8">
        <f t="shared" si="6"/>
        <v>5.3581384930822376</v>
      </c>
      <c r="F26" s="18">
        <f t="shared" si="7"/>
        <v>18629.503109977773</v>
      </c>
      <c r="G26" s="18">
        <f t="shared" si="8"/>
        <v>3476.8610654670224</v>
      </c>
    </row>
    <row r="27" spans="1:13" ht="15" thickBot="1" x14ac:dyDescent="0.4">
      <c r="A27" s="9">
        <v>45992</v>
      </c>
      <c r="B27" s="23">
        <v>58475</v>
      </c>
      <c r="C27" s="23">
        <v>312672</v>
      </c>
      <c r="D27" s="23">
        <v>1091145336</v>
      </c>
      <c r="E27" s="10">
        <f t="shared" si="6"/>
        <v>5.3471056006840527</v>
      </c>
      <c r="F27" s="20">
        <f t="shared" si="7"/>
        <v>18660.031398033349</v>
      </c>
      <c r="G27" s="20">
        <f t="shared" si="8"/>
        <v>3489.744319926313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56393</v>
      </c>
      <c r="C28" s="21">
        <v>282128</v>
      </c>
      <c r="D28" s="21">
        <v>930922728</v>
      </c>
      <c r="E28" s="5">
        <f t="shared" si="6"/>
        <v>5.0028904296632559</v>
      </c>
      <c r="F28" s="18">
        <f t="shared" si="7"/>
        <v>16507.770964481406</v>
      </c>
      <c r="G28" s="18">
        <f t="shared" si="8"/>
        <v>3299.64671354846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56789</v>
      </c>
      <c r="C29" s="22">
        <v>284674</v>
      </c>
      <c r="D29" s="22">
        <v>943605279</v>
      </c>
      <c r="E29" s="8">
        <f t="shared" si="6"/>
        <v>5.0128369930796461</v>
      </c>
      <c r="F29" s="18">
        <f t="shared" si="7"/>
        <v>16615.986881262215</v>
      </c>
      <c r="G29" s="18">
        <f t="shared" si="8"/>
        <v>3314.6872527873984</v>
      </c>
      <c r="H29" s="28"/>
    </row>
    <row r="30" spans="1:13" x14ac:dyDescent="0.35">
      <c r="A30" s="7">
        <v>46082</v>
      </c>
      <c r="B30" s="22">
        <v>57342</v>
      </c>
      <c r="C30" s="22">
        <v>291790</v>
      </c>
      <c r="D30" s="22">
        <v>981886182</v>
      </c>
      <c r="E30" s="8">
        <f t="shared" si="6"/>
        <v>5.0885912594607792</v>
      </c>
      <c r="F30" s="18">
        <f t="shared" si="7"/>
        <v>17123.333368211781</v>
      </c>
      <c r="G30" s="18">
        <f t="shared" ref="G30" si="9">IFERROR(F30/E30,"")</f>
        <v>3365.0439768326532</v>
      </c>
      <c r="H30" s="28"/>
    </row>
    <row r="31" spans="1:13" x14ac:dyDescent="0.35">
      <c r="A31" s="7">
        <v>46113</v>
      </c>
      <c r="B31" s="22">
        <v>58026</v>
      </c>
      <c r="C31" s="22">
        <v>297965</v>
      </c>
      <c r="D31" s="22">
        <v>1005745306</v>
      </c>
      <c r="E31" s="8">
        <f t="shared" si="6"/>
        <v>5.13502567814428</v>
      </c>
      <c r="F31" s="18">
        <f t="shared" si="7"/>
        <v>17332.666494330129</v>
      </c>
      <c r="G31" s="18">
        <f t="shared" ref="G31" si="10">IFERROR(F31/E31,"")</f>
        <v>3375.3806856509996</v>
      </c>
      <c r="H31" s="28"/>
    </row>
    <row r="32" spans="1:13" x14ac:dyDescent="0.35">
      <c r="A32" s="7">
        <v>46143</v>
      </c>
      <c r="B32" s="22">
        <v>58038</v>
      </c>
      <c r="C32" s="22">
        <v>300885</v>
      </c>
      <c r="D32" s="22">
        <v>1050647763</v>
      </c>
      <c r="E32" s="8">
        <f t="shared" si="6"/>
        <v>5.1842758192908098</v>
      </c>
      <c r="F32" s="18">
        <f t="shared" si="7"/>
        <v>18102.756176987492</v>
      </c>
      <c r="G32" s="18">
        <f t="shared" ref="G32" si="11">IFERROR(F32/E32,"")</f>
        <v>3491.8582282267312</v>
      </c>
      <c r="H32" s="28"/>
    </row>
    <row r="33" spans="1:13" x14ac:dyDescent="0.35">
      <c r="A33" s="7">
        <v>46174</v>
      </c>
      <c r="B33" s="22">
        <v>58488</v>
      </c>
      <c r="C33" s="22">
        <v>302846</v>
      </c>
      <c r="D33" s="22">
        <v>1061524808</v>
      </c>
      <c r="E33" s="8">
        <f t="shared" si="6"/>
        <v>5.1779168376419094</v>
      </c>
      <c r="F33" s="18">
        <f t="shared" si="7"/>
        <v>18149.44617699357</v>
      </c>
      <c r="G33" s="18">
        <f t="shared" ref="G33" si="12">IFERROR(F33/E33,"")</f>
        <v>3505.1637069665767</v>
      </c>
      <c r="H33" s="28"/>
    </row>
    <row r="34" spans="1:13" x14ac:dyDescent="0.35">
      <c r="A34" s="7">
        <v>46204</v>
      </c>
      <c r="B34" s="22">
        <v>58400</v>
      </c>
      <c r="C34" s="22">
        <v>300432</v>
      </c>
      <c r="D34" s="22">
        <v>1039196931</v>
      </c>
      <c r="E34" s="8">
        <f t="shared" si="6"/>
        <v>5.1443835616438358</v>
      </c>
      <c r="F34" s="18">
        <f t="shared" si="7"/>
        <v>17794.467996575342</v>
      </c>
      <c r="G34" s="18">
        <f t="shared" ref="G34" si="13">IFERROR(F34/E34,"")</f>
        <v>3459.0087973318418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CD7C-021C-4912-8412-B8CB388549B4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I33" sqref="I33"/>
    </sheetView>
  </sheetViews>
  <sheetFormatPr defaultColWidth="9.1796875" defaultRowHeight="14.5" x14ac:dyDescent="0.35"/>
  <cols>
    <col min="1" max="3" width="16.26953125" style="1" customWidth="1"/>
    <col min="4" max="4" width="18.2695312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47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423169</v>
      </c>
      <c r="C4" s="21">
        <v>3285707</v>
      </c>
      <c r="D4" s="21">
        <v>8286278855.0099812</v>
      </c>
      <c r="E4" s="5">
        <f t="shared" ref="E4:E7" si="0">C4/B4</f>
        <v>7.7645267020977435</v>
      </c>
      <c r="F4" s="18">
        <f t="shared" ref="F4:F7" si="1">D4/B4</f>
        <v>19581.488377007721</v>
      </c>
      <c r="G4" s="18">
        <f t="shared" ref="G4:G9" si="2">F4/E4</f>
        <v>2521.9165479484263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422405</v>
      </c>
      <c r="C5" s="22">
        <v>3295284</v>
      </c>
      <c r="D5" s="22">
        <v>8430873554.5499792</v>
      </c>
      <c r="E5" s="8">
        <f t="shared" si="0"/>
        <v>7.8012428830151155</v>
      </c>
      <c r="F5" s="18">
        <f t="shared" si="1"/>
        <v>19959.218178170191</v>
      </c>
      <c r="G5" s="18">
        <f t="shared" si="2"/>
        <v>2558.466449189199</v>
      </c>
      <c r="H5" s="28"/>
    </row>
    <row r="6" spans="1:13" x14ac:dyDescent="0.35">
      <c r="A6" s="7">
        <v>45352</v>
      </c>
      <c r="B6" s="22">
        <v>425669</v>
      </c>
      <c r="C6" s="22">
        <v>3359091</v>
      </c>
      <c r="D6" s="22">
        <v>8770309729.979969</v>
      </c>
      <c r="E6" s="8">
        <f t="shared" si="0"/>
        <v>7.8913216607269971</v>
      </c>
      <c r="F6" s="18">
        <f t="shared" si="1"/>
        <v>20603.590418799511</v>
      </c>
      <c r="G6" s="18">
        <f t="shared" si="2"/>
        <v>2610.9175756119644</v>
      </c>
      <c r="H6" s="28"/>
    </row>
    <row r="7" spans="1:13" x14ac:dyDescent="0.35">
      <c r="A7" s="7">
        <v>45383</v>
      </c>
      <c r="B7" s="22">
        <v>429338</v>
      </c>
      <c r="C7" s="22">
        <v>3405063</v>
      </c>
      <c r="D7" s="22">
        <v>9090986211.0899696</v>
      </c>
      <c r="E7" s="8">
        <f t="shared" si="0"/>
        <v>7.930961154148946</v>
      </c>
      <c r="F7" s="18">
        <f t="shared" si="1"/>
        <v>21174.427167150287</v>
      </c>
      <c r="G7" s="18">
        <f t="shared" si="2"/>
        <v>2669.8437623885284</v>
      </c>
      <c r="H7" s="28"/>
    </row>
    <row r="8" spans="1:13" x14ac:dyDescent="0.35">
      <c r="A8" s="7">
        <v>45413</v>
      </c>
      <c r="B8" s="22">
        <v>430379</v>
      </c>
      <c r="C8" s="22">
        <v>3454520</v>
      </c>
      <c r="D8" s="22">
        <v>9428056392.8499985</v>
      </c>
      <c r="E8" s="8">
        <f t="shared" ref="E8:E23" si="3">C8/B8</f>
        <v>8.0266927522021287</v>
      </c>
      <c r="F8" s="18">
        <f t="shared" ref="F8:F23" si="4">D8/B8</f>
        <v>21906.40433861782</v>
      </c>
      <c r="G8" s="18">
        <f t="shared" si="2"/>
        <v>2729.1943288358439</v>
      </c>
      <c r="H8" s="28"/>
    </row>
    <row r="9" spans="1:13" x14ac:dyDescent="0.35">
      <c r="A9" s="7">
        <v>45444</v>
      </c>
      <c r="B9" s="22">
        <v>432128</v>
      </c>
      <c r="C9" s="22">
        <v>3465261</v>
      </c>
      <c r="D9" s="22">
        <v>9577714510.6399994</v>
      </c>
      <c r="E9" s="8">
        <f t="shared" si="3"/>
        <v>8.0190614817831758</v>
      </c>
      <c r="F9" s="18">
        <f t="shared" si="4"/>
        <v>22164.0683099452</v>
      </c>
      <c r="G9" s="18">
        <f t="shared" si="2"/>
        <v>2763.922980300762</v>
      </c>
      <c r="H9" s="28"/>
    </row>
    <row r="10" spans="1:13" x14ac:dyDescent="0.35">
      <c r="A10" s="7">
        <v>45474</v>
      </c>
      <c r="B10" s="22">
        <v>431437</v>
      </c>
      <c r="C10" s="22">
        <v>3466512</v>
      </c>
      <c r="D10" s="22">
        <v>9657815397.6399994</v>
      </c>
      <c r="E10" s="8">
        <f t="shared" si="3"/>
        <v>8.0348046180554746</v>
      </c>
      <c r="F10" s="18">
        <f t="shared" si="4"/>
        <v>22385.227501674635</v>
      </c>
      <c r="G10" s="18">
        <f t="shared" ref="G10:G21" si="5">F10/E10</f>
        <v>2786.0325876962202</v>
      </c>
      <c r="H10" s="28"/>
    </row>
    <row r="11" spans="1:13" x14ac:dyDescent="0.35">
      <c r="A11" s="7">
        <v>45505</v>
      </c>
      <c r="B11" s="22">
        <v>429173</v>
      </c>
      <c r="C11" s="22">
        <v>3484742</v>
      </c>
      <c r="D11" s="22">
        <v>9815575026.4399776</v>
      </c>
      <c r="E11" s="8">
        <f t="shared" si="3"/>
        <v>8.1196673602486644</v>
      </c>
      <c r="F11" s="18">
        <f t="shared" si="4"/>
        <v>22870.905267665901</v>
      </c>
      <c r="G11" s="18">
        <f t="shared" si="5"/>
        <v>2816.7293379079365</v>
      </c>
      <c r="H11" s="28"/>
    </row>
    <row r="12" spans="1:13" x14ac:dyDescent="0.35">
      <c r="A12" s="7">
        <v>45536</v>
      </c>
      <c r="B12" s="22">
        <v>429613</v>
      </c>
      <c r="C12" s="22">
        <v>3500568</v>
      </c>
      <c r="D12" s="22">
        <v>10010936050.069963</v>
      </c>
      <c r="E12" s="8">
        <f t="shared" si="3"/>
        <v>8.1481891842192855</v>
      </c>
      <c r="F12" s="18">
        <f t="shared" si="4"/>
        <v>23302.218624832032</v>
      </c>
      <c r="G12" s="18">
        <f t="shared" si="5"/>
        <v>2859.8033376497656</v>
      </c>
      <c r="H12" s="28"/>
    </row>
    <row r="13" spans="1:13" x14ac:dyDescent="0.35">
      <c r="A13" s="7">
        <v>45566</v>
      </c>
      <c r="B13" s="22">
        <v>433542</v>
      </c>
      <c r="C13" s="22">
        <v>3557377</v>
      </c>
      <c r="D13" s="22">
        <v>10370034462.149982</v>
      </c>
      <c r="E13" s="8">
        <f t="shared" si="3"/>
        <v>8.2053803322400132</v>
      </c>
      <c r="F13" s="18">
        <f t="shared" si="4"/>
        <v>23919.330681110441</v>
      </c>
      <c r="G13" s="18">
        <f t="shared" si="5"/>
        <v>2915.0788522414082</v>
      </c>
      <c r="H13" s="28"/>
    </row>
    <row r="14" spans="1:13" x14ac:dyDescent="0.35">
      <c r="A14" s="7">
        <v>45597</v>
      </c>
      <c r="B14" s="22">
        <v>430711</v>
      </c>
      <c r="C14" s="22">
        <v>3468997</v>
      </c>
      <c r="D14" s="22">
        <v>10155915959.319977</v>
      </c>
      <c r="E14" s="8">
        <f t="shared" si="3"/>
        <v>8.0541174940969693</v>
      </c>
      <c r="F14" s="18">
        <f t="shared" si="4"/>
        <v>23579.420909426452</v>
      </c>
      <c r="G14" s="18">
        <f t="shared" si="5"/>
        <v>2927.6231600430838</v>
      </c>
      <c r="H14" s="28"/>
    </row>
    <row r="15" spans="1:13" ht="15" thickBot="1" x14ac:dyDescent="0.4">
      <c r="A15" s="9">
        <v>45627</v>
      </c>
      <c r="B15" s="23">
        <v>427868</v>
      </c>
      <c r="C15" s="23">
        <v>3434460</v>
      </c>
      <c r="D15" s="23">
        <v>9841681986.6399765</v>
      </c>
      <c r="E15" s="10">
        <f t="shared" si="3"/>
        <v>8.0269148428954722</v>
      </c>
      <c r="F15" s="20">
        <f t="shared" si="4"/>
        <v>23001.678056409866</v>
      </c>
      <c r="G15" s="20">
        <f t="shared" si="5"/>
        <v>2865.5689647397194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436084</v>
      </c>
      <c r="C16" s="21">
        <v>3503287</v>
      </c>
      <c r="D16" s="21">
        <v>10323302315.339996</v>
      </c>
      <c r="E16" s="5">
        <f t="shared" si="3"/>
        <v>8.0335141853404384</v>
      </c>
      <c r="F16" s="18">
        <f t="shared" si="4"/>
        <v>23672.738085644043</v>
      </c>
      <c r="G16" s="18">
        <f t="shared" si="5"/>
        <v>2946.7475303450724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442087</v>
      </c>
      <c r="C17" s="22">
        <v>3624382</v>
      </c>
      <c r="D17" s="22">
        <v>10929222441.729992</v>
      </c>
      <c r="E17" s="8">
        <f t="shared" si="3"/>
        <v>8.1983455745136133</v>
      </c>
      <c r="F17" s="18">
        <f t="shared" si="4"/>
        <v>24721.881534019303</v>
      </c>
      <c r="G17" s="18">
        <f t="shared" si="5"/>
        <v>3015.4720009452626</v>
      </c>
      <c r="H17" s="28"/>
    </row>
    <row r="18" spans="1:13" x14ac:dyDescent="0.35">
      <c r="A18" s="7">
        <v>45717</v>
      </c>
      <c r="B18" s="22">
        <v>452631</v>
      </c>
      <c r="C18" s="22">
        <v>3712344</v>
      </c>
      <c r="D18" s="22">
        <v>11347078800.419977</v>
      </c>
      <c r="E18" s="8">
        <f t="shared" si="3"/>
        <v>8.2017007231055761</v>
      </c>
      <c r="F18" s="18">
        <f t="shared" si="4"/>
        <v>25069.159647527405</v>
      </c>
      <c r="G18" s="18">
        <f t="shared" si="5"/>
        <v>3056.5806402693224</v>
      </c>
      <c r="H18" s="28"/>
    </row>
    <row r="19" spans="1:13" x14ac:dyDescent="0.35">
      <c r="A19" s="7">
        <v>45748</v>
      </c>
      <c r="B19" s="22">
        <v>466721</v>
      </c>
      <c r="C19" s="22">
        <v>3842741</v>
      </c>
      <c r="D19" s="22">
        <v>11923617282</v>
      </c>
      <c r="E19" s="8">
        <f t="shared" si="3"/>
        <v>8.2334863869420918</v>
      </c>
      <c r="F19" s="18">
        <f t="shared" si="4"/>
        <v>25547.633986900095</v>
      </c>
      <c r="G19" s="18">
        <f t="shared" si="5"/>
        <v>3102.8938151179063</v>
      </c>
      <c r="H19" s="28"/>
    </row>
    <row r="20" spans="1:13" x14ac:dyDescent="0.35">
      <c r="A20" s="7">
        <v>45778</v>
      </c>
      <c r="B20" s="22">
        <v>477971</v>
      </c>
      <c r="C20" s="22">
        <v>3963951</v>
      </c>
      <c r="D20" s="22">
        <v>12409115657</v>
      </c>
      <c r="E20" s="8">
        <f t="shared" si="3"/>
        <v>8.2932876680802803</v>
      </c>
      <c r="F20" s="18">
        <f t="shared" si="4"/>
        <v>25962.068110826807</v>
      </c>
      <c r="G20" s="18">
        <f t="shared" si="5"/>
        <v>3130.4916879648617</v>
      </c>
      <c r="H20" s="28"/>
    </row>
    <row r="21" spans="1:13" x14ac:dyDescent="0.35">
      <c r="A21" s="7">
        <v>45809</v>
      </c>
      <c r="B21" s="22">
        <v>491783</v>
      </c>
      <c r="C21" s="22">
        <v>4087659</v>
      </c>
      <c r="D21" s="22">
        <v>12967342255</v>
      </c>
      <c r="E21" s="8">
        <f t="shared" si="3"/>
        <v>8.3119160280042212</v>
      </c>
      <c r="F21" s="18">
        <f t="shared" si="4"/>
        <v>26368.016493046729</v>
      </c>
      <c r="G21" s="18">
        <f t="shared" si="5"/>
        <v>3172.3150720253329</v>
      </c>
      <c r="H21" s="28"/>
    </row>
    <row r="22" spans="1:13" x14ac:dyDescent="0.35">
      <c r="A22" s="7">
        <v>45839</v>
      </c>
      <c r="B22" s="22">
        <v>505536</v>
      </c>
      <c r="C22" s="22">
        <v>4174850</v>
      </c>
      <c r="D22" s="22">
        <v>13293053049</v>
      </c>
      <c r="E22" s="8">
        <f t="shared" si="3"/>
        <v>8.2582644955057596</v>
      </c>
      <c r="F22" s="18">
        <f t="shared" si="4"/>
        <v>26294.96820997911</v>
      </c>
      <c r="G22" s="18">
        <f>F22/E22</f>
        <v>3184.079200210786</v>
      </c>
      <c r="H22" s="28"/>
    </row>
    <row r="23" spans="1:13" x14ac:dyDescent="0.35">
      <c r="A23" s="7">
        <v>45870</v>
      </c>
      <c r="B23" s="22">
        <v>511576</v>
      </c>
      <c r="C23" s="22">
        <v>4263841</v>
      </c>
      <c r="D23" s="22">
        <v>13818129264</v>
      </c>
      <c r="E23" s="8">
        <f t="shared" si="3"/>
        <v>8.3347166403427835</v>
      </c>
      <c r="F23" s="18">
        <f t="shared" si="4"/>
        <v>27010.902122069838</v>
      </c>
      <c r="G23" s="18">
        <f>F23/E23</f>
        <v>3240.770297016235</v>
      </c>
    </row>
    <row r="24" spans="1:13" x14ac:dyDescent="0.35">
      <c r="A24" s="7">
        <v>45901</v>
      </c>
      <c r="B24" s="22">
        <v>528543</v>
      </c>
      <c r="C24" s="22">
        <v>4296350</v>
      </c>
      <c r="D24" s="22">
        <v>13965404329</v>
      </c>
      <c r="E24" s="8">
        <f t="shared" ref="E24:E34" si="6">IFERROR(C24/B24,"")</f>
        <v>8.1286669201938153</v>
      </c>
      <c r="F24" s="18">
        <f t="shared" ref="F24:F34" si="7">IFERROR(D24/B24,"")</f>
        <v>26422.4563167046</v>
      </c>
      <c r="G24" s="18">
        <f t="shared" ref="G24:G29" si="8">IFERROR(F24/E24,"")</f>
        <v>3250.527617396162</v>
      </c>
    </row>
    <row r="25" spans="1:13" x14ac:dyDescent="0.35">
      <c r="A25" s="7">
        <v>45931</v>
      </c>
      <c r="B25" s="22">
        <v>545408</v>
      </c>
      <c r="C25" s="22">
        <v>4364641</v>
      </c>
      <c r="D25" s="22">
        <v>14219576373</v>
      </c>
      <c r="E25" s="8">
        <f t="shared" si="6"/>
        <v>8.0025247154423838</v>
      </c>
      <c r="F25" s="18">
        <f t="shared" si="7"/>
        <v>26071.448114072402</v>
      </c>
      <c r="G25" s="18">
        <f t="shared" si="8"/>
        <v>3257.9028545532155</v>
      </c>
    </row>
    <row r="26" spans="1:13" x14ac:dyDescent="0.35">
      <c r="A26" s="7">
        <v>45962</v>
      </c>
      <c r="B26" s="22">
        <v>559910</v>
      </c>
      <c r="C26" s="22">
        <v>4429889</v>
      </c>
      <c r="D26" s="22">
        <v>14617837032</v>
      </c>
      <c r="E26" s="8">
        <f t="shared" si="6"/>
        <v>7.9117876087228307</v>
      </c>
      <c r="F26" s="18">
        <f t="shared" si="7"/>
        <v>26107.47625868443</v>
      </c>
      <c r="G26" s="18">
        <f t="shared" si="8"/>
        <v>3299.8201607308893</v>
      </c>
    </row>
    <row r="27" spans="1:13" ht="15" thickBot="1" x14ac:dyDescent="0.4">
      <c r="A27" s="9">
        <v>45992</v>
      </c>
      <c r="B27" s="23">
        <v>562883</v>
      </c>
      <c r="C27" s="23">
        <v>4457365</v>
      </c>
      <c r="D27" s="23">
        <v>14803286097</v>
      </c>
      <c r="E27" s="10">
        <f t="shared" si="6"/>
        <v>7.9188126129231122</v>
      </c>
      <c r="F27" s="20">
        <f t="shared" si="7"/>
        <v>26299.046332896891</v>
      </c>
      <c r="G27" s="20">
        <f t="shared" si="8"/>
        <v>3321.0845638622818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569809</v>
      </c>
      <c r="C28" s="21">
        <v>4509503</v>
      </c>
      <c r="D28" s="21">
        <v>15049636791</v>
      </c>
      <c r="E28" s="5">
        <f t="shared" si="6"/>
        <v>7.9140606764722916</v>
      </c>
      <c r="F28" s="18">
        <f t="shared" si="7"/>
        <v>26411.721806780868</v>
      </c>
      <c r="G28" s="18">
        <f t="shared" si="8"/>
        <v>3337.3160614373692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577744</v>
      </c>
      <c r="C29" s="22">
        <v>4557162</v>
      </c>
      <c r="D29" s="22">
        <v>15324264436</v>
      </c>
      <c r="E29" s="8">
        <f t="shared" si="6"/>
        <v>7.8878569054806285</v>
      </c>
      <c r="F29" s="18">
        <f t="shared" si="7"/>
        <v>26524.316022321305</v>
      </c>
      <c r="G29" s="18">
        <f t="shared" si="8"/>
        <v>3362.6771301963809</v>
      </c>
      <c r="H29" s="28"/>
    </row>
    <row r="30" spans="1:13" x14ac:dyDescent="0.35">
      <c r="A30" s="7">
        <v>46082</v>
      </c>
      <c r="B30" s="22">
        <v>582437</v>
      </c>
      <c r="C30" s="22">
        <v>4670164</v>
      </c>
      <c r="D30" s="22">
        <v>16025675187</v>
      </c>
      <c r="E30" s="8">
        <f t="shared" si="6"/>
        <v>8.0183161440636503</v>
      </c>
      <c r="F30" s="18">
        <f t="shared" si="7"/>
        <v>27514.864589646604</v>
      </c>
      <c r="G30" s="18">
        <f t="shared" ref="G30" si="9">IFERROR(F30/E30,"")</f>
        <v>3431.5015890234258</v>
      </c>
      <c r="H30" s="28"/>
    </row>
    <row r="31" spans="1:13" x14ac:dyDescent="0.35">
      <c r="A31" s="7">
        <v>46113</v>
      </c>
      <c r="B31" s="22">
        <v>588935</v>
      </c>
      <c r="C31" s="22">
        <v>4811120</v>
      </c>
      <c r="D31" s="22">
        <v>16754719966</v>
      </c>
      <c r="E31" s="8">
        <f t="shared" si="6"/>
        <v>8.1691867523580708</v>
      </c>
      <c r="F31" s="18">
        <f t="shared" si="7"/>
        <v>28449.183638262286</v>
      </c>
      <c r="G31" s="18">
        <f t="shared" ref="G31" si="10">IFERROR(F31/E31,"")</f>
        <v>3482.4988705332644</v>
      </c>
      <c r="H31" s="28"/>
    </row>
    <row r="32" spans="1:13" x14ac:dyDescent="0.35">
      <c r="A32" s="7">
        <v>46143</v>
      </c>
      <c r="B32" s="22">
        <v>593565</v>
      </c>
      <c r="C32" s="22">
        <v>4960917</v>
      </c>
      <c r="D32" s="22">
        <v>17548531577</v>
      </c>
      <c r="E32" s="8">
        <f t="shared" si="6"/>
        <v>8.3578327563114403</v>
      </c>
      <c r="F32" s="18">
        <f t="shared" si="7"/>
        <v>29564.633320697816</v>
      </c>
      <c r="G32" s="18">
        <f t="shared" ref="G32" si="11">IFERROR(F32/E32,"")</f>
        <v>3537.3564155578492</v>
      </c>
      <c r="H32" s="28"/>
    </row>
    <row r="33" spans="1:13" x14ac:dyDescent="0.35">
      <c r="A33" s="7">
        <v>46174</v>
      </c>
      <c r="B33" s="22">
        <v>601986</v>
      </c>
      <c r="C33" s="22">
        <v>5035550</v>
      </c>
      <c r="D33" s="22">
        <v>17857319448</v>
      </c>
      <c r="E33" s="8">
        <f t="shared" si="6"/>
        <v>8.3648955291319069</v>
      </c>
      <c r="F33" s="18">
        <f t="shared" si="7"/>
        <v>29664.01120291834</v>
      </c>
      <c r="G33" s="18">
        <f t="shared" ref="G33" si="12">IFERROR(F33/E33,"")</f>
        <v>3546.2500517321841</v>
      </c>
      <c r="H33" s="28"/>
    </row>
    <row r="34" spans="1:13" x14ac:dyDescent="0.35">
      <c r="A34" s="7">
        <v>46204</v>
      </c>
      <c r="B34" s="22">
        <v>607497</v>
      </c>
      <c r="C34" s="22">
        <v>5127974</v>
      </c>
      <c r="D34" s="22">
        <v>18428165727</v>
      </c>
      <c r="E34" s="8">
        <f t="shared" si="6"/>
        <v>8.4411511497176122</v>
      </c>
      <c r="F34" s="18">
        <f t="shared" si="7"/>
        <v>30334.578980636943</v>
      </c>
      <c r="G34" s="18">
        <f t="shared" ref="G34" si="13">IFERROR(F34/E34,"")</f>
        <v>3593.654282763524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A570-121A-465C-B0B7-F39B2151CC28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J34" sqref="J34"/>
    </sheetView>
  </sheetViews>
  <sheetFormatPr defaultColWidth="9.1796875" defaultRowHeight="14.5" x14ac:dyDescent="0.35"/>
  <cols>
    <col min="1" max="3" width="16.26953125" style="1" customWidth="1"/>
    <col min="4" max="4" width="18.6328125" style="1" bestFit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48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604940</v>
      </c>
      <c r="C4" s="21">
        <v>3527946</v>
      </c>
      <c r="D4" s="21">
        <v>10717268481.129925</v>
      </c>
      <c r="E4" s="5">
        <f t="shared" ref="E4:E7" si="0">C4/B4</f>
        <v>5.8318940721393862</v>
      </c>
      <c r="F4" s="18">
        <f t="shared" ref="F4:F7" si="1">D4/B4</f>
        <v>17716.250340744413</v>
      </c>
      <c r="G4" s="18">
        <f t="shared" ref="G4:G9" si="2">F4/E4</f>
        <v>3037.8210100522865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599517</v>
      </c>
      <c r="C5" s="22">
        <v>3526306</v>
      </c>
      <c r="D5" s="22">
        <v>10875822258.949934</v>
      </c>
      <c r="E5" s="8">
        <f t="shared" si="0"/>
        <v>5.8819116055091012</v>
      </c>
      <c r="F5" s="18">
        <f t="shared" si="1"/>
        <v>18140.973915585269</v>
      </c>
      <c r="G5" s="18">
        <f t="shared" si="2"/>
        <v>3084.1969638908067</v>
      </c>
      <c r="H5" s="28"/>
    </row>
    <row r="6" spans="1:13" x14ac:dyDescent="0.35">
      <c r="A6" s="7">
        <v>45352</v>
      </c>
      <c r="B6" s="22">
        <v>600101</v>
      </c>
      <c r="C6" s="22">
        <v>3563400</v>
      </c>
      <c r="D6" s="22">
        <v>11110756916.719925</v>
      </c>
      <c r="E6" s="8">
        <f t="shared" si="0"/>
        <v>5.9380004365931738</v>
      </c>
      <c r="F6" s="18">
        <f t="shared" si="1"/>
        <v>18514.81153459155</v>
      </c>
      <c r="G6" s="18">
        <f t="shared" si="2"/>
        <v>3118.0212484480899</v>
      </c>
      <c r="H6" s="28"/>
    </row>
    <row r="7" spans="1:13" x14ac:dyDescent="0.35">
      <c r="A7" s="7">
        <v>45383</v>
      </c>
      <c r="B7" s="22">
        <v>609911</v>
      </c>
      <c r="C7" s="22">
        <v>3617132</v>
      </c>
      <c r="D7" s="22">
        <v>11419735450.879929</v>
      </c>
      <c r="E7" s="8">
        <f t="shared" si="0"/>
        <v>5.9305898729486763</v>
      </c>
      <c r="F7" s="18">
        <f t="shared" si="1"/>
        <v>18723.609593661909</v>
      </c>
      <c r="G7" s="18">
        <f t="shared" si="2"/>
        <v>3157.1243324490033</v>
      </c>
      <c r="H7" s="28"/>
    </row>
    <row r="8" spans="1:13" x14ac:dyDescent="0.35">
      <c r="A8" s="7">
        <v>45413</v>
      </c>
      <c r="B8" s="22">
        <v>609177</v>
      </c>
      <c r="C8" s="22">
        <v>3676532</v>
      </c>
      <c r="D8" s="22">
        <v>11857089676.639933</v>
      </c>
      <c r="E8" s="8">
        <f t="shared" ref="E8:E23" si="3">C8/B8</f>
        <v>6.0352442721901847</v>
      </c>
      <c r="F8" s="18">
        <f t="shared" ref="F8:F23" si="4">D8/B8</f>
        <v>19464.112526638288</v>
      </c>
      <c r="G8" s="18">
        <f t="shared" si="2"/>
        <v>3225.0745204012728</v>
      </c>
      <c r="H8" s="28"/>
    </row>
    <row r="9" spans="1:13" x14ac:dyDescent="0.35">
      <c r="A9" s="7">
        <v>45444</v>
      </c>
      <c r="B9" s="22">
        <v>613797</v>
      </c>
      <c r="C9" s="22">
        <v>3720616</v>
      </c>
      <c r="D9" s="22">
        <v>12177016470.129999</v>
      </c>
      <c r="E9" s="8">
        <f t="shared" si="3"/>
        <v>6.06163927161586</v>
      </c>
      <c r="F9" s="18">
        <f t="shared" si="4"/>
        <v>19838.833474471201</v>
      </c>
      <c r="G9" s="18">
        <f t="shared" si="2"/>
        <v>3272.8495684934965</v>
      </c>
      <c r="H9" s="28"/>
    </row>
    <row r="10" spans="1:13" x14ac:dyDescent="0.35">
      <c r="A10" s="7">
        <v>45474</v>
      </c>
      <c r="B10" s="22">
        <v>616914</v>
      </c>
      <c r="C10" s="22">
        <v>3744804</v>
      </c>
      <c r="D10" s="22">
        <v>12317940750.049999</v>
      </c>
      <c r="E10" s="8">
        <f t="shared" si="3"/>
        <v>6.070220484540795</v>
      </c>
      <c r="F10" s="18">
        <f t="shared" si="4"/>
        <v>19967.03065589369</v>
      </c>
      <c r="G10" s="18">
        <f t="shared" ref="G10:G21" si="5">F10/E10</f>
        <v>3289.3419121668317</v>
      </c>
      <c r="H10" s="28"/>
    </row>
    <row r="11" spans="1:13" x14ac:dyDescent="0.35">
      <c r="A11" s="7">
        <v>45505</v>
      </c>
      <c r="B11" s="22">
        <v>613723</v>
      </c>
      <c r="C11" s="22">
        <v>3770267</v>
      </c>
      <c r="D11" s="22">
        <v>12518657664.049919</v>
      </c>
      <c r="E11" s="8">
        <f t="shared" si="3"/>
        <v>6.1432714758938483</v>
      </c>
      <c r="F11" s="18">
        <f t="shared" si="4"/>
        <v>20397.895571862093</v>
      </c>
      <c r="G11" s="18">
        <f t="shared" si="5"/>
        <v>3320.363694149491</v>
      </c>
      <c r="H11" s="28"/>
    </row>
    <row r="12" spans="1:13" x14ac:dyDescent="0.35">
      <c r="A12" s="7">
        <v>45536</v>
      </c>
      <c r="B12" s="22">
        <v>617081</v>
      </c>
      <c r="C12" s="22">
        <v>3826145</v>
      </c>
      <c r="D12" s="22">
        <v>12868335430.749916</v>
      </c>
      <c r="E12" s="8">
        <f t="shared" si="3"/>
        <v>6.2003934653635424</v>
      </c>
      <c r="F12" s="18">
        <f t="shared" si="4"/>
        <v>20853.559631150394</v>
      </c>
      <c r="G12" s="18">
        <f t="shared" si="5"/>
        <v>3363.2639198853981</v>
      </c>
      <c r="H12" s="28"/>
    </row>
    <row r="13" spans="1:13" x14ac:dyDescent="0.35">
      <c r="A13" s="7">
        <v>45566</v>
      </c>
      <c r="B13" s="22">
        <v>617861</v>
      </c>
      <c r="C13" s="22">
        <v>3865044</v>
      </c>
      <c r="D13" s="22">
        <v>13308346169.729931</v>
      </c>
      <c r="E13" s="8">
        <f t="shared" si="3"/>
        <v>6.2555234915296483</v>
      </c>
      <c r="F13" s="18">
        <f t="shared" si="4"/>
        <v>21539.385346752635</v>
      </c>
      <c r="G13" s="18">
        <f t="shared" si="5"/>
        <v>3443.2586458860314</v>
      </c>
      <c r="H13" s="28"/>
    </row>
    <row r="14" spans="1:13" x14ac:dyDescent="0.35">
      <c r="A14" s="7">
        <v>45597</v>
      </c>
      <c r="B14" s="22">
        <v>622126</v>
      </c>
      <c r="C14" s="22">
        <v>3899844</v>
      </c>
      <c r="D14" s="22">
        <v>13509699904.17992</v>
      </c>
      <c r="E14" s="8">
        <f t="shared" si="3"/>
        <v>6.2685758190463021</v>
      </c>
      <c r="F14" s="18">
        <f t="shared" si="4"/>
        <v>21715.375830908724</v>
      </c>
      <c r="G14" s="18">
        <f t="shared" si="5"/>
        <v>3464.1641830237113</v>
      </c>
      <c r="H14" s="28"/>
    </row>
    <row r="15" spans="1:13" ht="15" thickBot="1" x14ac:dyDescent="0.4">
      <c r="A15" s="9">
        <v>45627</v>
      </c>
      <c r="B15" s="23">
        <v>615024</v>
      </c>
      <c r="C15" s="23">
        <v>3878432</v>
      </c>
      <c r="D15" s="23">
        <v>13322093576.929905</v>
      </c>
      <c r="E15" s="10">
        <f t="shared" si="3"/>
        <v>6.3061474023777935</v>
      </c>
      <c r="F15" s="20">
        <f t="shared" si="4"/>
        <v>21661.095464453265</v>
      </c>
      <c r="G15" s="20">
        <f t="shared" si="5"/>
        <v>3434.9174039740556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633187</v>
      </c>
      <c r="C16" s="21">
        <v>3935343</v>
      </c>
      <c r="D16" s="21">
        <v>13492074279.709858</v>
      </c>
      <c r="E16" s="5">
        <f t="shared" si="3"/>
        <v>6.2151354970964343</v>
      </c>
      <c r="F16" s="18">
        <f t="shared" si="4"/>
        <v>21308.198493825454</v>
      </c>
      <c r="G16" s="18">
        <f t="shared" si="5"/>
        <v>3428.436677491608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647138</v>
      </c>
      <c r="C17" s="22">
        <v>4037942</v>
      </c>
      <c r="D17" s="22">
        <v>14206901441.269882</v>
      </c>
      <c r="E17" s="8">
        <f t="shared" si="3"/>
        <v>6.2396923067413752</v>
      </c>
      <c r="F17" s="18">
        <f t="shared" si="4"/>
        <v>21953.434107207246</v>
      </c>
      <c r="G17" s="18">
        <f t="shared" si="5"/>
        <v>3518.3520321168266</v>
      </c>
      <c r="H17" s="28"/>
    </row>
    <row r="18" spans="1:13" x14ac:dyDescent="0.35">
      <c r="A18" s="7">
        <v>45717</v>
      </c>
      <c r="B18" s="22">
        <v>660777</v>
      </c>
      <c r="C18" s="22">
        <v>4102689</v>
      </c>
      <c r="D18" s="22">
        <v>14578284015.329857</v>
      </c>
      <c r="E18" s="8">
        <f t="shared" si="3"/>
        <v>6.2088859025056866</v>
      </c>
      <c r="F18" s="18">
        <f t="shared" si="4"/>
        <v>22062.335727983656</v>
      </c>
      <c r="G18" s="18">
        <f t="shared" si="5"/>
        <v>3553.3485514816884</v>
      </c>
      <c r="H18" s="28"/>
    </row>
    <row r="19" spans="1:13" x14ac:dyDescent="0.35">
      <c r="A19" s="7">
        <v>45748</v>
      </c>
      <c r="B19" s="22">
        <v>680082</v>
      </c>
      <c r="C19" s="22">
        <v>4232530</v>
      </c>
      <c r="D19" s="22">
        <v>15082647848</v>
      </c>
      <c r="E19" s="8">
        <f t="shared" si="3"/>
        <v>6.22355833561247</v>
      </c>
      <c r="F19" s="18">
        <f t="shared" si="4"/>
        <v>22177.690113839213</v>
      </c>
      <c r="G19" s="18">
        <f t="shared" si="5"/>
        <v>3563.5064247624946</v>
      </c>
      <c r="H19" s="28"/>
    </row>
    <row r="20" spans="1:13" x14ac:dyDescent="0.35">
      <c r="A20" s="7">
        <v>45778</v>
      </c>
      <c r="B20" s="22">
        <v>694981</v>
      </c>
      <c r="C20" s="22">
        <v>4291526</v>
      </c>
      <c r="D20" s="22">
        <v>15488405159</v>
      </c>
      <c r="E20" s="8">
        <f t="shared" si="3"/>
        <v>6.175026367627316</v>
      </c>
      <c r="F20" s="18">
        <f t="shared" si="4"/>
        <v>22286.084308779664</v>
      </c>
      <c r="G20" s="18">
        <f t="shared" si="5"/>
        <v>3609.0670682176924</v>
      </c>
      <c r="H20" s="28"/>
    </row>
    <row r="21" spans="1:13" x14ac:dyDescent="0.35">
      <c r="A21" s="7">
        <v>45809</v>
      </c>
      <c r="B21" s="22">
        <v>709539</v>
      </c>
      <c r="C21" s="22">
        <v>4361816</v>
      </c>
      <c r="D21" s="22">
        <v>15845969232</v>
      </c>
      <c r="E21" s="8">
        <f t="shared" si="3"/>
        <v>6.1473942940416242</v>
      </c>
      <c r="F21" s="18">
        <f t="shared" si="4"/>
        <v>22332.767095254807</v>
      </c>
      <c r="G21" s="18">
        <f t="shared" si="5"/>
        <v>3632.8834668862696</v>
      </c>
      <c r="H21" s="28"/>
    </row>
    <row r="22" spans="1:13" x14ac:dyDescent="0.35">
      <c r="A22" s="7">
        <v>45839</v>
      </c>
      <c r="B22" s="22">
        <v>730942</v>
      </c>
      <c r="C22" s="22">
        <v>4478982</v>
      </c>
      <c r="D22" s="22">
        <v>16344680944</v>
      </c>
      <c r="E22" s="8">
        <f t="shared" si="3"/>
        <v>6.1276845495265011</v>
      </c>
      <c r="F22" s="18">
        <f t="shared" si="4"/>
        <v>22361.118863056166</v>
      </c>
      <c r="G22" s="18">
        <f>F22/E22</f>
        <v>3649.1954966552671</v>
      </c>
      <c r="H22" s="28"/>
    </row>
    <row r="23" spans="1:13" x14ac:dyDescent="0.35">
      <c r="A23" s="7">
        <v>45870</v>
      </c>
      <c r="B23" s="22">
        <v>743436</v>
      </c>
      <c r="C23" s="22">
        <v>4556342</v>
      </c>
      <c r="D23" s="22">
        <v>16808818697</v>
      </c>
      <c r="E23" s="8">
        <f t="shared" si="3"/>
        <v>6.1287615880855917</v>
      </c>
      <c r="F23" s="18">
        <f t="shared" si="4"/>
        <v>22609.637812804329</v>
      </c>
      <c r="G23" s="18">
        <f>F23/E23</f>
        <v>3689.1038242958934</v>
      </c>
    </row>
    <row r="24" spans="1:13" x14ac:dyDescent="0.35">
      <c r="A24" s="7">
        <v>45901</v>
      </c>
      <c r="B24" s="22">
        <v>769989</v>
      </c>
      <c r="C24" s="22">
        <v>4622647</v>
      </c>
      <c r="D24" s="22">
        <v>17045232605</v>
      </c>
      <c r="E24" s="8">
        <f t="shared" ref="E24:E34" si="6">IFERROR(C24/B24,"")</f>
        <v>6.0035234269580471</v>
      </c>
      <c r="F24" s="18">
        <f t="shared" ref="F24:F34" si="7">IFERROR(D24/B24,"")</f>
        <v>22136.981963378697</v>
      </c>
      <c r="G24" s="18">
        <f t="shared" ref="G24:G29" si="8">IFERROR(F24/E24,"")</f>
        <v>3687.3316532713834</v>
      </c>
    </row>
    <row r="25" spans="1:13" x14ac:dyDescent="0.35">
      <c r="A25" s="7">
        <v>45931</v>
      </c>
      <c r="B25" s="22">
        <v>803244</v>
      </c>
      <c r="C25" s="22">
        <v>4726503</v>
      </c>
      <c r="D25" s="22">
        <v>17346387691</v>
      </c>
      <c r="E25" s="8">
        <f t="shared" si="6"/>
        <v>5.8842680430852887</v>
      </c>
      <c r="F25" s="18">
        <f t="shared" si="7"/>
        <v>21595.415205093348</v>
      </c>
      <c r="G25" s="18">
        <f t="shared" si="8"/>
        <v>3670.025744403421</v>
      </c>
    </row>
    <row r="26" spans="1:13" x14ac:dyDescent="0.35">
      <c r="A26" s="7">
        <v>45962</v>
      </c>
      <c r="B26" s="22">
        <v>824158</v>
      </c>
      <c r="C26" s="22">
        <v>4796299</v>
      </c>
      <c r="D26" s="22">
        <v>17800251395</v>
      </c>
      <c r="E26" s="8">
        <f t="shared" si="6"/>
        <v>5.8196353126463611</v>
      </c>
      <c r="F26" s="18">
        <f t="shared" si="7"/>
        <v>21598.105454293956</v>
      </c>
      <c r="G26" s="18">
        <f t="shared" si="8"/>
        <v>3711.2472335440302</v>
      </c>
    </row>
    <row r="27" spans="1:13" ht="15" thickBot="1" x14ac:dyDescent="0.4">
      <c r="A27" s="9">
        <v>45992</v>
      </c>
      <c r="B27" s="23">
        <v>838828</v>
      </c>
      <c r="C27" s="23">
        <v>4878412</v>
      </c>
      <c r="D27" s="23">
        <v>18205319246</v>
      </c>
      <c r="E27" s="10">
        <f t="shared" si="6"/>
        <v>5.8157476860572128</v>
      </c>
      <c r="F27" s="20">
        <f t="shared" si="7"/>
        <v>21703.2803459112</v>
      </c>
      <c r="G27" s="20">
        <f t="shared" si="8"/>
        <v>3731.8125746656906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846161</v>
      </c>
      <c r="C28" s="21">
        <v>4911187</v>
      </c>
      <c r="D28" s="21">
        <v>18396835159</v>
      </c>
      <c r="E28" s="5">
        <f t="shared" si="6"/>
        <v>5.8040810200422852</v>
      </c>
      <c r="F28" s="18">
        <f t="shared" si="7"/>
        <v>21741.530464060623</v>
      </c>
      <c r="G28" s="18">
        <f t="shared" si="8"/>
        <v>3745.9040266640222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856462</v>
      </c>
      <c r="C29" s="22">
        <v>4971893</v>
      </c>
      <c r="D29" s="22">
        <v>18736845576</v>
      </c>
      <c r="E29" s="8">
        <f t="shared" si="6"/>
        <v>5.8051530599139252</v>
      </c>
      <c r="F29" s="18">
        <f t="shared" si="7"/>
        <v>21877.030826820104</v>
      </c>
      <c r="G29" s="18">
        <f t="shared" si="8"/>
        <v>3768.5536627598381</v>
      </c>
      <c r="H29" s="28"/>
    </row>
    <row r="30" spans="1:13" x14ac:dyDescent="0.35">
      <c r="A30" s="7">
        <v>46082</v>
      </c>
      <c r="B30" s="22">
        <v>860493</v>
      </c>
      <c r="C30" s="22">
        <v>5040243</v>
      </c>
      <c r="D30" s="22">
        <v>19401304795</v>
      </c>
      <c r="E30" s="8">
        <f t="shared" si="6"/>
        <v>5.8573898916086478</v>
      </c>
      <c r="F30" s="18">
        <f t="shared" si="7"/>
        <v>22546.731693343234</v>
      </c>
      <c r="G30" s="18">
        <f t="shared" ref="G30" si="9">IFERROR(F30/E30,"")</f>
        <v>3849.2796468344877</v>
      </c>
      <c r="H30" s="28"/>
    </row>
    <row r="31" spans="1:13" x14ac:dyDescent="0.35">
      <c r="A31" s="7">
        <v>46113</v>
      </c>
      <c r="B31" s="22">
        <v>864722</v>
      </c>
      <c r="C31" s="22">
        <v>5120962</v>
      </c>
      <c r="D31" s="22">
        <v>20028920906</v>
      </c>
      <c r="E31" s="8">
        <f t="shared" si="6"/>
        <v>5.9220905678356743</v>
      </c>
      <c r="F31" s="18">
        <f t="shared" si="7"/>
        <v>23162.26591436323</v>
      </c>
      <c r="G31" s="18">
        <f t="shared" ref="G31" si="10">IFERROR(F31/E31,"")</f>
        <v>3911.1637434528907</v>
      </c>
      <c r="H31" s="28"/>
    </row>
    <row r="32" spans="1:13" x14ac:dyDescent="0.35">
      <c r="A32" s="7">
        <v>46143</v>
      </c>
      <c r="B32" s="22">
        <v>869138</v>
      </c>
      <c r="C32" s="22">
        <v>5223898</v>
      </c>
      <c r="D32" s="22">
        <v>20753731886</v>
      </c>
      <c r="E32" s="8">
        <f t="shared" si="6"/>
        <v>6.0104356270235568</v>
      </c>
      <c r="F32" s="18">
        <f t="shared" si="7"/>
        <v>23878.52318734194</v>
      </c>
      <c r="G32" s="18">
        <f t="shared" ref="G32" si="11">IFERROR(F32/E32,"")</f>
        <v>3972.8440115025214</v>
      </c>
      <c r="H32" s="28"/>
    </row>
    <row r="33" spans="1:13" x14ac:dyDescent="0.35">
      <c r="A33" s="7">
        <v>46174</v>
      </c>
      <c r="B33" s="22">
        <v>874385</v>
      </c>
      <c r="C33" s="22">
        <v>5257131</v>
      </c>
      <c r="D33" s="22">
        <v>20879191717</v>
      </c>
      <c r="E33" s="8">
        <f t="shared" si="6"/>
        <v>6.0123755553903599</v>
      </c>
      <c r="F33" s="18">
        <f t="shared" si="7"/>
        <v>23878.716717464275</v>
      </c>
      <c r="G33" s="18">
        <f t="shared" ref="G33" si="12">IFERROR(F33/E33,"")</f>
        <v>3971.5943386231006</v>
      </c>
      <c r="H33" s="28"/>
    </row>
    <row r="34" spans="1:13" x14ac:dyDescent="0.35">
      <c r="A34" s="7">
        <v>46204</v>
      </c>
      <c r="B34" s="22">
        <v>870189</v>
      </c>
      <c r="C34" s="22">
        <v>5304296</v>
      </c>
      <c r="D34" s="22">
        <v>21272735514</v>
      </c>
      <c r="E34" s="8">
        <f t="shared" si="6"/>
        <v>6.0955677444784984</v>
      </c>
      <c r="F34" s="18">
        <f t="shared" si="7"/>
        <v>24446.109424504331</v>
      </c>
      <c r="G34" s="18">
        <f t="shared" ref="G34" si="13">IFERROR(F34/E34,"")</f>
        <v>4010.4729287355003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81A7-87B2-4520-AE88-A47F5AB9118A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J34" sqref="J34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49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71599</v>
      </c>
      <c r="C4" s="21">
        <v>465759</v>
      </c>
      <c r="D4" s="21">
        <v>1321468853.7200007</v>
      </c>
      <c r="E4" s="5">
        <f t="shared" ref="E4:E7" si="0">C4/B4</f>
        <v>6.505104819899719</v>
      </c>
      <c r="F4" s="18">
        <f t="shared" ref="F4:F7" si="1">D4/B4</f>
        <v>18456.526679422906</v>
      </c>
      <c r="G4" s="18">
        <f t="shared" ref="G4:G9" si="2">F4/E4</f>
        <v>2837.2373989981961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72313</v>
      </c>
      <c r="C5" s="22">
        <v>469411</v>
      </c>
      <c r="D5" s="22">
        <v>1345990674.2400007</v>
      </c>
      <c r="E5" s="8">
        <f t="shared" si="0"/>
        <v>6.4913777605686391</v>
      </c>
      <c r="F5" s="18">
        <f t="shared" si="1"/>
        <v>18613.398341100503</v>
      </c>
      <c r="G5" s="18">
        <f t="shared" si="2"/>
        <v>2867.403350667114</v>
      </c>
      <c r="H5" s="28"/>
    </row>
    <row r="6" spans="1:13" x14ac:dyDescent="0.35">
      <c r="A6" s="7">
        <v>45352</v>
      </c>
      <c r="B6" s="22">
        <v>72618</v>
      </c>
      <c r="C6" s="22">
        <v>476183</v>
      </c>
      <c r="D6" s="22">
        <v>1391681787.440001</v>
      </c>
      <c r="E6" s="8">
        <f t="shared" si="0"/>
        <v>6.5573686964664404</v>
      </c>
      <c r="F6" s="18">
        <f t="shared" si="1"/>
        <v>19164.419117023343</v>
      </c>
      <c r="G6" s="18">
        <f t="shared" si="2"/>
        <v>2922.5776380929206</v>
      </c>
      <c r="H6" s="28"/>
    </row>
    <row r="7" spans="1:13" x14ac:dyDescent="0.35">
      <c r="A7" s="7">
        <v>45383</v>
      </c>
      <c r="B7" s="22">
        <v>72905</v>
      </c>
      <c r="C7" s="22">
        <v>483729</v>
      </c>
      <c r="D7" s="22">
        <v>1432782331.2700009</v>
      </c>
      <c r="E7" s="8">
        <f t="shared" si="0"/>
        <v>6.6350593237775186</v>
      </c>
      <c r="F7" s="18">
        <f t="shared" si="1"/>
        <v>19652.730694328249</v>
      </c>
      <c r="G7" s="18">
        <f t="shared" si="2"/>
        <v>2961.9525214944751</v>
      </c>
      <c r="H7" s="28"/>
    </row>
    <row r="8" spans="1:13" x14ac:dyDescent="0.35">
      <c r="A8" s="7">
        <v>45413</v>
      </c>
      <c r="B8" s="22">
        <v>73349</v>
      </c>
      <c r="C8" s="22">
        <v>488700</v>
      </c>
      <c r="D8" s="22">
        <v>1483852189.1000009</v>
      </c>
      <c r="E8" s="8">
        <f t="shared" ref="E8:E23" si="3">C8/B8</f>
        <v>6.662667521029598</v>
      </c>
      <c r="F8" s="18">
        <f t="shared" ref="F8:F23" si="4">D8/B8</f>
        <v>20230.026163955892</v>
      </c>
      <c r="G8" s="18">
        <f t="shared" si="2"/>
        <v>3036.3253306732163</v>
      </c>
      <c r="H8" s="28"/>
    </row>
    <row r="9" spans="1:13" x14ac:dyDescent="0.35">
      <c r="A9" s="7">
        <v>45444</v>
      </c>
      <c r="B9" s="22">
        <v>73711</v>
      </c>
      <c r="C9" s="22">
        <v>490976</v>
      </c>
      <c r="D9" s="22">
        <v>1504265773.8399999</v>
      </c>
      <c r="E9" s="8">
        <f t="shared" si="3"/>
        <v>6.6608240289780358</v>
      </c>
      <c r="F9" s="18">
        <f t="shared" si="4"/>
        <v>20407.61587605649</v>
      </c>
      <c r="G9" s="18">
        <f t="shared" si="2"/>
        <v>3063.8275065176299</v>
      </c>
      <c r="H9" s="28"/>
    </row>
    <row r="10" spans="1:13" x14ac:dyDescent="0.35">
      <c r="A10" s="7">
        <v>45474</v>
      </c>
      <c r="B10" s="22">
        <v>73324</v>
      </c>
      <c r="C10" s="22">
        <v>490072</v>
      </c>
      <c r="D10" s="22">
        <v>1514868373.3199999</v>
      </c>
      <c r="E10" s="8">
        <f t="shared" si="3"/>
        <v>6.6836506464459111</v>
      </c>
      <c r="F10" s="18">
        <f t="shared" si="4"/>
        <v>20659.9254448748</v>
      </c>
      <c r="G10" s="18">
        <f t="shared" ref="G10:G21" si="5">F10/E10</f>
        <v>3091.1139043242624</v>
      </c>
      <c r="H10" s="28"/>
    </row>
    <row r="11" spans="1:13" x14ac:dyDescent="0.35">
      <c r="A11" s="7">
        <v>45505</v>
      </c>
      <c r="B11" s="22">
        <v>73445</v>
      </c>
      <c r="C11" s="22">
        <v>494224</v>
      </c>
      <c r="D11" s="22">
        <v>1534052506.7200007</v>
      </c>
      <c r="E11" s="8">
        <f t="shared" si="3"/>
        <v>6.7291714888692216</v>
      </c>
      <c r="F11" s="18">
        <f t="shared" si="4"/>
        <v>20887.092473551649</v>
      </c>
      <c r="G11" s="18">
        <f t="shared" si="5"/>
        <v>3103.9619822590585</v>
      </c>
      <c r="H11" s="28"/>
    </row>
    <row r="12" spans="1:13" x14ac:dyDescent="0.35">
      <c r="A12" s="7">
        <v>45536</v>
      </c>
      <c r="B12" s="22">
        <v>73677</v>
      </c>
      <c r="C12" s="22">
        <v>497820</v>
      </c>
      <c r="D12" s="22">
        <v>1564691556.5100014</v>
      </c>
      <c r="E12" s="8">
        <f t="shared" si="3"/>
        <v>6.7567897715705039</v>
      </c>
      <c r="F12" s="18">
        <f t="shared" si="4"/>
        <v>21237.177905045013</v>
      </c>
      <c r="G12" s="18">
        <f t="shared" si="5"/>
        <v>3143.0869722188772</v>
      </c>
      <c r="H12" s="28"/>
    </row>
    <row r="13" spans="1:13" x14ac:dyDescent="0.35">
      <c r="A13" s="7">
        <v>45566</v>
      </c>
      <c r="B13" s="22">
        <v>74192</v>
      </c>
      <c r="C13" s="22">
        <v>505171</v>
      </c>
      <c r="D13" s="22">
        <v>1611347996.2300005</v>
      </c>
      <c r="E13" s="8">
        <f t="shared" si="3"/>
        <v>6.8089686219538494</v>
      </c>
      <c r="F13" s="18">
        <f t="shared" si="4"/>
        <v>21718.621903035375</v>
      </c>
      <c r="G13" s="18">
        <f t="shared" si="5"/>
        <v>3189.7080319931283</v>
      </c>
      <c r="H13" s="28"/>
    </row>
    <row r="14" spans="1:13" x14ac:dyDescent="0.35">
      <c r="A14" s="7">
        <v>45597</v>
      </c>
      <c r="B14" s="22">
        <v>74790</v>
      </c>
      <c r="C14" s="22">
        <v>507836</v>
      </c>
      <c r="D14" s="22">
        <v>1625895894.1800008</v>
      </c>
      <c r="E14" s="8">
        <f t="shared" si="3"/>
        <v>6.7901591121807732</v>
      </c>
      <c r="F14" s="18">
        <f t="shared" si="4"/>
        <v>21739.482473325323</v>
      </c>
      <c r="G14" s="18">
        <f t="shared" si="5"/>
        <v>3201.616061445035</v>
      </c>
      <c r="H14" s="28"/>
    </row>
    <row r="15" spans="1:13" ht="15" thickBot="1" x14ac:dyDescent="0.4">
      <c r="A15" s="9">
        <v>45627</v>
      </c>
      <c r="B15" s="23">
        <v>73653</v>
      </c>
      <c r="C15" s="23">
        <v>502774</v>
      </c>
      <c r="D15" s="23">
        <v>1600139274.4400003</v>
      </c>
      <c r="E15" s="10">
        <f t="shared" si="3"/>
        <v>6.8262528342362154</v>
      </c>
      <c r="F15" s="20">
        <f t="shared" si="4"/>
        <v>21725.378116845211</v>
      </c>
      <c r="G15" s="20">
        <f t="shared" si="5"/>
        <v>3182.6213655439628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75517</v>
      </c>
      <c r="C16" s="21">
        <v>515398</v>
      </c>
      <c r="D16" s="21">
        <v>1652381308.5900016</v>
      </c>
      <c r="E16" s="5">
        <f t="shared" si="3"/>
        <v>6.8249268376656911</v>
      </c>
      <c r="F16" s="18">
        <f t="shared" si="4"/>
        <v>21880.918317597385</v>
      </c>
      <c r="G16" s="18">
        <f t="shared" si="5"/>
        <v>3206.029725745932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77436</v>
      </c>
      <c r="C17" s="22">
        <v>529750</v>
      </c>
      <c r="D17" s="22">
        <v>1728189597.2400012</v>
      </c>
      <c r="E17" s="8">
        <f t="shared" si="3"/>
        <v>6.8411333230022215</v>
      </c>
      <c r="F17" s="18">
        <f t="shared" si="4"/>
        <v>22317.650669456081</v>
      </c>
      <c r="G17" s="18">
        <f t="shared" si="5"/>
        <v>3262.2738975743296</v>
      </c>
      <c r="H17" s="28"/>
    </row>
    <row r="18" spans="1:13" x14ac:dyDescent="0.35">
      <c r="A18" s="7">
        <v>45717</v>
      </c>
      <c r="B18" s="22">
        <v>79011</v>
      </c>
      <c r="C18" s="22">
        <v>545155</v>
      </c>
      <c r="D18" s="22">
        <v>1810402962.5600011</v>
      </c>
      <c r="E18" s="8">
        <f t="shared" si="3"/>
        <v>6.8997354798698911</v>
      </c>
      <c r="F18" s="18">
        <f t="shared" si="4"/>
        <v>22913.302737087255</v>
      </c>
      <c r="G18" s="18">
        <f t="shared" si="5"/>
        <v>3320.8958233163066</v>
      </c>
      <c r="H18" s="28"/>
    </row>
    <row r="19" spans="1:13" x14ac:dyDescent="0.35">
      <c r="A19" s="7">
        <v>45748</v>
      </c>
      <c r="B19" s="22">
        <v>81380</v>
      </c>
      <c r="C19" s="22">
        <v>558892</v>
      </c>
      <c r="D19" s="22">
        <v>1874144603</v>
      </c>
      <c r="E19" s="8">
        <f t="shared" si="3"/>
        <v>6.8676824772671416</v>
      </c>
      <c r="F19" s="18">
        <f t="shared" si="4"/>
        <v>23029.547837306465</v>
      </c>
      <c r="G19" s="18">
        <f t="shared" si="5"/>
        <v>3353.3215773351562</v>
      </c>
      <c r="H19" s="28"/>
    </row>
    <row r="20" spans="1:13" x14ac:dyDescent="0.35">
      <c r="A20" s="7">
        <v>45778</v>
      </c>
      <c r="B20" s="22">
        <v>82982</v>
      </c>
      <c r="C20" s="22">
        <v>568358</v>
      </c>
      <c r="D20" s="22">
        <v>1930489562</v>
      </c>
      <c r="E20" s="8">
        <f t="shared" si="3"/>
        <v>6.8491721096141331</v>
      </c>
      <c r="F20" s="18">
        <f t="shared" si="4"/>
        <v>23263.95558072835</v>
      </c>
      <c r="G20" s="18">
        <f t="shared" si="5"/>
        <v>3396.6084087846039</v>
      </c>
      <c r="H20" s="28"/>
    </row>
    <row r="21" spans="1:13" x14ac:dyDescent="0.35">
      <c r="A21" s="7">
        <v>45809</v>
      </c>
      <c r="B21" s="22">
        <v>83695</v>
      </c>
      <c r="C21" s="22">
        <v>572806</v>
      </c>
      <c r="D21" s="22">
        <v>1929697044</v>
      </c>
      <c r="E21" s="8">
        <f t="shared" si="3"/>
        <v>6.8439691737857702</v>
      </c>
      <c r="F21" s="18">
        <f t="shared" si="4"/>
        <v>23056.300185196247</v>
      </c>
      <c r="G21" s="18">
        <f t="shared" si="5"/>
        <v>3368.8492159649163</v>
      </c>
      <c r="H21" s="28"/>
    </row>
    <row r="22" spans="1:13" x14ac:dyDescent="0.35">
      <c r="A22" s="7">
        <v>45839</v>
      </c>
      <c r="B22" s="22">
        <v>86206</v>
      </c>
      <c r="C22" s="22">
        <v>586927</v>
      </c>
      <c r="D22" s="22">
        <v>1991247833</v>
      </c>
      <c r="E22" s="8">
        <f t="shared" si="3"/>
        <v>6.8084240076096787</v>
      </c>
      <c r="F22" s="18">
        <f t="shared" si="4"/>
        <v>23098.71508943693</v>
      </c>
      <c r="G22" s="18">
        <f>F22/E22</f>
        <v>3392.6669466560579</v>
      </c>
      <c r="H22" s="28"/>
    </row>
    <row r="23" spans="1:13" x14ac:dyDescent="0.35">
      <c r="A23" s="7">
        <v>45870</v>
      </c>
      <c r="B23" s="22">
        <v>87484</v>
      </c>
      <c r="C23" s="22">
        <v>596033</v>
      </c>
      <c r="D23" s="22">
        <v>2041370958</v>
      </c>
      <c r="E23" s="8">
        <f t="shared" si="3"/>
        <v>6.8130515294225233</v>
      </c>
      <c r="F23" s="18">
        <f t="shared" si="4"/>
        <v>23334.220634630332</v>
      </c>
      <c r="G23" s="18">
        <f>F23/E23</f>
        <v>3424.9294216930939</v>
      </c>
    </row>
    <row r="24" spans="1:13" x14ac:dyDescent="0.35">
      <c r="A24" s="7">
        <v>45901</v>
      </c>
      <c r="B24" s="22">
        <v>90111</v>
      </c>
      <c r="C24" s="22">
        <v>600996</v>
      </c>
      <c r="D24" s="22">
        <v>2068397584</v>
      </c>
      <c r="E24" s="8">
        <f t="shared" ref="E24:E34" si="6">IFERROR(C24/B24,"")</f>
        <v>6.6695076072843493</v>
      </c>
      <c r="F24" s="18">
        <f t="shared" ref="F24:F34" si="7">IFERROR(D24/B24,"")</f>
        <v>22953.885585555592</v>
      </c>
      <c r="G24" s="18">
        <f t="shared" ref="G24:G29" si="8">IFERROR(F24/E24,"")</f>
        <v>3441.616223735266</v>
      </c>
    </row>
    <row r="25" spans="1:13" x14ac:dyDescent="0.35">
      <c r="A25" s="7">
        <v>45931</v>
      </c>
      <c r="B25" s="22">
        <v>93233</v>
      </c>
      <c r="C25" s="22">
        <v>611918</v>
      </c>
      <c r="D25" s="22">
        <v>2100889257</v>
      </c>
      <c r="E25" s="8">
        <f t="shared" si="6"/>
        <v>6.5633198545579354</v>
      </c>
      <c r="F25" s="18">
        <f t="shared" si="7"/>
        <v>22533.751536473137</v>
      </c>
      <c r="G25" s="18">
        <f t="shared" si="8"/>
        <v>3433.2855987240118</v>
      </c>
    </row>
    <row r="26" spans="1:13" x14ac:dyDescent="0.35">
      <c r="A26" s="7">
        <v>45962</v>
      </c>
      <c r="B26" s="22">
        <v>95002</v>
      </c>
      <c r="C26" s="22">
        <v>618795</v>
      </c>
      <c r="D26" s="22">
        <v>2147681204</v>
      </c>
      <c r="E26" s="8">
        <f t="shared" si="6"/>
        <v>6.5134944527483629</v>
      </c>
      <c r="F26" s="18">
        <f t="shared" si="7"/>
        <v>22606.694638007622</v>
      </c>
      <c r="G26" s="18">
        <f t="shared" si="8"/>
        <v>3470.747507656009</v>
      </c>
    </row>
    <row r="27" spans="1:13" ht="15" thickBot="1" x14ac:dyDescent="0.4">
      <c r="A27" s="9">
        <v>45992</v>
      </c>
      <c r="B27" s="23">
        <v>96133</v>
      </c>
      <c r="C27" s="23">
        <v>623283</v>
      </c>
      <c r="D27" s="23">
        <v>2170291497</v>
      </c>
      <c r="E27" s="10">
        <f t="shared" si="6"/>
        <v>6.4835488333870783</v>
      </c>
      <c r="F27" s="20">
        <f t="shared" si="7"/>
        <v>22575.926029563208</v>
      </c>
      <c r="G27" s="20">
        <f t="shared" si="8"/>
        <v>3482.0322341536666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89020</v>
      </c>
      <c r="C28" s="21">
        <v>539872</v>
      </c>
      <c r="D28" s="21">
        <v>1784699221</v>
      </c>
      <c r="E28" s="5">
        <f t="shared" si="6"/>
        <v>6.0646146933273419</v>
      </c>
      <c r="F28" s="18">
        <f t="shared" si="7"/>
        <v>20048.295001123344</v>
      </c>
      <c r="G28" s="18">
        <f t="shared" si="8"/>
        <v>3305.7821502133843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90093</v>
      </c>
      <c r="C29" s="22">
        <v>545770</v>
      </c>
      <c r="D29" s="22">
        <v>1821296038</v>
      </c>
      <c r="E29" s="8">
        <f t="shared" si="6"/>
        <v>6.0578513314019959</v>
      </c>
      <c r="F29" s="18">
        <f t="shared" si="7"/>
        <v>20215.733053622367</v>
      </c>
      <c r="G29" s="18">
        <f t="shared" si="8"/>
        <v>3337.112772779742</v>
      </c>
      <c r="H29" s="28"/>
    </row>
    <row r="30" spans="1:13" x14ac:dyDescent="0.35">
      <c r="A30" s="7">
        <v>46082</v>
      </c>
      <c r="B30" s="22">
        <v>90436</v>
      </c>
      <c r="C30" s="22">
        <v>556026</v>
      </c>
      <c r="D30" s="22">
        <v>1884683587</v>
      </c>
      <c r="E30" s="8">
        <f t="shared" si="6"/>
        <v>6.1482816577469146</v>
      </c>
      <c r="F30" s="18">
        <f t="shared" si="7"/>
        <v>20839.970664337212</v>
      </c>
      <c r="G30" s="18">
        <f t="shared" ref="G30" si="9">IFERROR(F30/E30,"")</f>
        <v>3389.5601770420812</v>
      </c>
      <c r="H30" s="28"/>
    </row>
    <row r="31" spans="1:13" x14ac:dyDescent="0.35">
      <c r="A31" s="7">
        <v>46113</v>
      </c>
      <c r="B31" s="22">
        <v>91392</v>
      </c>
      <c r="C31" s="22">
        <v>565951</v>
      </c>
      <c r="D31" s="22">
        <v>1936735991</v>
      </c>
      <c r="E31" s="8">
        <f t="shared" si="6"/>
        <v>6.1925660889355738</v>
      </c>
      <c r="F31" s="18">
        <f t="shared" si="7"/>
        <v>21191.526512167366</v>
      </c>
      <c r="G31" s="18">
        <f t="shared" ref="G31" si="10">IFERROR(F31/E31,"")</f>
        <v>3422.0912958895733</v>
      </c>
      <c r="H31" s="28"/>
    </row>
    <row r="32" spans="1:13" x14ac:dyDescent="0.35">
      <c r="A32" s="7">
        <v>46143</v>
      </c>
      <c r="B32" s="22">
        <v>91908</v>
      </c>
      <c r="C32" s="22">
        <v>577270</v>
      </c>
      <c r="D32" s="22">
        <v>2024735025</v>
      </c>
      <c r="E32" s="8">
        <f t="shared" si="6"/>
        <v>6.2809548679113893</v>
      </c>
      <c r="F32" s="18">
        <f t="shared" si="7"/>
        <v>22030.019421595509</v>
      </c>
      <c r="G32" s="18">
        <f t="shared" ref="G32" si="11">IFERROR(F32/E32,"")</f>
        <v>3507.4315744798796</v>
      </c>
      <c r="H32" s="28"/>
    </row>
    <row r="33" spans="1:13" x14ac:dyDescent="0.35">
      <c r="A33" s="7">
        <v>46174</v>
      </c>
      <c r="B33" s="22">
        <v>92167</v>
      </c>
      <c r="C33" s="22">
        <v>575548</v>
      </c>
      <c r="D33" s="22">
        <v>2035345608</v>
      </c>
      <c r="E33" s="8">
        <f t="shared" si="6"/>
        <v>6.2446211767769375</v>
      </c>
      <c r="F33" s="18">
        <f t="shared" si="7"/>
        <v>22083.235952130373</v>
      </c>
      <c r="G33" s="18">
        <f t="shared" ref="G33" si="12">IFERROR(F33/E33,"")</f>
        <v>3536.3611862086223</v>
      </c>
      <c r="H33" s="28"/>
    </row>
    <row r="34" spans="1:13" x14ac:dyDescent="0.35">
      <c r="A34" s="7">
        <v>46204</v>
      </c>
      <c r="B34" s="22">
        <v>92360</v>
      </c>
      <c r="C34" s="22">
        <v>575972</v>
      </c>
      <c r="D34" s="22">
        <v>2073638752</v>
      </c>
      <c r="E34" s="8">
        <f t="shared" si="6"/>
        <v>6.2361628410567347</v>
      </c>
      <c r="F34" s="18">
        <f t="shared" si="7"/>
        <v>22451.69718492854</v>
      </c>
      <c r="G34" s="18">
        <f t="shared" ref="G34" si="13">IFERROR(F34/E34,"")</f>
        <v>3600.242289555742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ED36-903D-43F9-9013-0D67C9A541BA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M29" sqref="M29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50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53543</v>
      </c>
      <c r="C4" s="21">
        <v>409640</v>
      </c>
      <c r="D4" s="21">
        <v>1068953252.3599997</v>
      </c>
      <c r="E4" s="5">
        <f t="shared" ref="E4:E7" si="0">C4/B4</f>
        <v>7.6506732906262256</v>
      </c>
      <c r="F4" s="18">
        <f t="shared" ref="F4:F7" si="1">D4/B4</f>
        <v>19964.388479539804</v>
      </c>
      <c r="G4" s="18">
        <f t="shared" ref="G4:G9" si="2">F4/E4</f>
        <v>2609.494317840054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53563</v>
      </c>
      <c r="C5" s="22">
        <v>409789</v>
      </c>
      <c r="D5" s="22">
        <v>1077267693.9099994</v>
      </c>
      <c r="E5" s="8">
        <f t="shared" si="0"/>
        <v>7.6505983608087673</v>
      </c>
      <c r="F5" s="18">
        <f t="shared" si="1"/>
        <v>20112.161266359228</v>
      </c>
      <c r="G5" s="18">
        <f t="shared" si="2"/>
        <v>2628.8350685596715</v>
      </c>
      <c r="H5" s="28"/>
    </row>
    <row r="6" spans="1:13" x14ac:dyDescent="0.35">
      <c r="A6" s="7">
        <v>45352</v>
      </c>
      <c r="B6" s="22">
        <v>53967</v>
      </c>
      <c r="C6" s="22">
        <v>414251</v>
      </c>
      <c r="D6" s="22">
        <v>1099358729.4699998</v>
      </c>
      <c r="E6" s="8">
        <f t="shared" si="0"/>
        <v>7.6760057071914316</v>
      </c>
      <c r="F6" s="18">
        <f t="shared" si="1"/>
        <v>20370.943900346505</v>
      </c>
      <c r="G6" s="18">
        <f t="shared" si="2"/>
        <v>2653.8468934776256</v>
      </c>
      <c r="H6" s="28"/>
    </row>
    <row r="7" spans="1:13" x14ac:dyDescent="0.35">
      <c r="A7" s="7">
        <v>45383</v>
      </c>
      <c r="B7" s="22">
        <v>54722</v>
      </c>
      <c r="C7" s="22">
        <v>421382</v>
      </c>
      <c r="D7" s="22">
        <v>1141512309.0800002</v>
      </c>
      <c r="E7" s="8">
        <f t="shared" si="0"/>
        <v>7.7004129966010018</v>
      </c>
      <c r="F7" s="18">
        <f t="shared" si="1"/>
        <v>20860.208126164984</v>
      </c>
      <c r="G7" s="18">
        <f t="shared" si="2"/>
        <v>2708.9726402171905</v>
      </c>
      <c r="H7" s="28"/>
    </row>
    <row r="8" spans="1:13" x14ac:dyDescent="0.35">
      <c r="A8" s="7">
        <v>45413</v>
      </c>
      <c r="B8" s="22">
        <v>54260</v>
      </c>
      <c r="C8" s="22">
        <v>425265</v>
      </c>
      <c r="D8" s="22">
        <v>1165491990.4700007</v>
      </c>
      <c r="E8" s="8">
        <f t="shared" ref="E8:E23" si="3">C8/B8</f>
        <v>7.8375414670106895</v>
      </c>
      <c r="F8" s="18">
        <f t="shared" ref="F8:F23" si="4">D8/B8</f>
        <v>21479.763923147821</v>
      </c>
      <c r="G8" s="18">
        <f t="shared" si="2"/>
        <v>2740.6252347830191</v>
      </c>
      <c r="H8" s="28"/>
    </row>
    <row r="9" spans="1:13" x14ac:dyDescent="0.35">
      <c r="A9" s="7">
        <v>45444</v>
      </c>
      <c r="B9" s="22">
        <v>54514</v>
      </c>
      <c r="C9" s="22">
        <v>426762</v>
      </c>
      <c r="D9" s="22">
        <v>1188576425.6300001</v>
      </c>
      <c r="E9" s="8">
        <f t="shared" si="3"/>
        <v>7.8284844260190045</v>
      </c>
      <c r="F9" s="18">
        <f t="shared" si="4"/>
        <v>21803.140947829917</v>
      </c>
      <c r="G9" s="18">
        <f t="shared" si="2"/>
        <v>2785.1037009621291</v>
      </c>
      <c r="H9" s="28"/>
    </row>
    <row r="10" spans="1:13" x14ac:dyDescent="0.35">
      <c r="A10" s="7">
        <v>45474</v>
      </c>
      <c r="B10" s="22">
        <v>54331</v>
      </c>
      <c r="C10" s="22">
        <v>427787</v>
      </c>
      <c r="D10" s="22">
        <v>1193961772.5599999</v>
      </c>
      <c r="E10" s="8">
        <f t="shared" si="3"/>
        <v>7.8737185032486057</v>
      </c>
      <c r="F10" s="18">
        <f t="shared" si="4"/>
        <v>21975.700291914374</v>
      </c>
      <c r="G10" s="18">
        <f t="shared" ref="G10:G21" si="5">F10/E10</f>
        <v>2791.0192982956469</v>
      </c>
      <c r="H10" s="28"/>
    </row>
    <row r="11" spans="1:13" x14ac:dyDescent="0.35">
      <c r="A11" s="7">
        <v>45505</v>
      </c>
      <c r="B11" s="22">
        <v>54981</v>
      </c>
      <c r="C11" s="22">
        <v>430564</v>
      </c>
      <c r="D11" s="22">
        <v>1204758650.3600004</v>
      </c>
      <c r="E11" s="8">
        <f t="shared" si="3"/>
        <v>7.8311416671213694</v>
      </c>
      <c r="F11" s="18">
        <f t="shared" si="4"/>
        <v>21912.272427929656</v>
      </c>
      <c r="G11" s="18">
        <f t="shared" si="5"/>
        <v>2798.0942446651379</v>
      </c>
      <c r="H11" s="28"/>
    </row>
    <row r="12" spans="1:13" x14ac:dyDescent="0.35">
      <c r="A12" s="7">
        <v>45536</v>
      </c>
      <c r="B12" s="22">
        <v>55277</v>
      </c>
      <c r="C12" s="22">
        <v>436337</v>
      </c>
      <c r="D12" s="22">
        <v>1222734302.8199999</v>
      </c>
      <c r="E12" s="8">
        <f t="shared" si="3"/>
        <v>7.8936447346997847</v>
      </c>
      <c r="F12" s="18">
        <f t="shared" si="4"/>
        <v>22120.127771405827</v>
      </c>
      <c r="G12" s="18">
        <f t="shared" si="5"/>
        <v>2802.2704992242234</v>
      </c>
      <c r="H12" s="28"/>
    </row>
    <row r="13" spans="1:13" x14ac:dyDescent="0.35">
      <c r="A13" s="7">
        <v>45566</v>
      </c>
      <c r="B13" s="22">
        <v>55559</v>
      </c>
      <c r="C13" s="22">
        <v>446091</v>
      </c>
      <c r="D13" s="22">
        <v>1262817663.95</v>
      </c>
      <c r="E13" s="8">
        <f t="shared" si="3"/>
        <v>8.0291401933080149</v>
      </c>
      <c r="F13" s="18">
        <f t="shared" si="4"/>
        <v>22729.308733958496</v>
      </c>
      <c r="G13" s="18">
        <f t="shared" si="5"/>
        <v>2830.8521444055141</v>
      </c>
      <c r="H13" s="28"/>
    </row>
    <row r="14" spans="1:13" x14ac:dyDescent="0.35">
      <c r="A14" s="7">
        <v>45597</v>
      </c>
      <c r="B14" s="22">
        <v>56178</v>
      </c>
      <c r="C14" s="22">
        <v>450798</v>
      </c>
      <c r="D14" s="22">
        <v>1279778901.46</v>
      </c>
      <c r="E14" s="8">
        <f t="shared" si="3"/>
        <v>8.024457972871943</v>
      </c>
      <c r="F14" s="18">
        <f t="shared" si="4"/>
        <v>22780.784318772476</v>
      </c>
      <c r="G14" s="18">
        <f t="shared" si="5"/>
        <v>2838.9187650788163</v>
      </c>
      <c r="H14" s="28"/>
    </row>
    <row r="15" spans="1:13" ht="15" thickBot="1" x14ac:dyDescent="0.4">
      <c r="A15" s="9">
        <v>45627</v>
      </c>
      <c r="B15" s="23">
        <v>51532</v>
      </c>
      <c r="C15" s="23">
        <v>374544</v>
      </c>
      <c r="D15" s="23">
        <v>1030940456.4</v>
      </c>
      <c r="E15" s="10">
        <f t="shared" si="3"/>
        <v>7.2681828766591634</v>
      </c>
      <c r="F15" s="20">
        <f t="shared" si="4"/>
        <v>20005.830482030582</v>
      </c>
      <c r="G15" s="20">
        <f t="shared" si="5"/>
        <v>2752.52161668589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52654</v>
      </c>
      <c r="C16" s="21">
        <v>381251</v>
      </c>
      <c r="D16" s="21">
        <v>1064700710.1899997</v>
      </c>
      <c r="E16" s="5">
        <f t="shared" si="3"/>
        <v>7.2406844684164549</v>
      </c>
      <c r="F16" s="18">
        <f t="shared" si="4"/>
        <v>20220.699475633373</v>
      </c>
      <c r="G16" s="18">
        <f t="shared" si="5"/>
        <v>2792.6502755140305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53172</v>
      </c>
      <c r="C17" s="22">
        <v>388790</v>
      </c>
      <c r="D17" s="22">
        <v>1112859774.5899992</v>
      </c>
      <c r="E17" s="8">
        <f t="shared" si="3"/>
        <v>7.3119310915519442</v>
      </c>
      <c r="F17" s="18">
        <f t="shared" si="4"/>
        <v>20929.432306289011</v>
      </c>
      <c r="G17" s="18">
        <f t="shared" si="5"/>
        <v>2862.3672794824952</v>
      </c>
      <c r="H17" s="28"/>
    </row>
    <row r="18" spans="1:13" x14ac:dyDescent="0.35">
      <c r="A18" s="7">
        <v>45717</v>
      </c>
      <c r="B18" s="22">
        <v>54204</v>
      </c>
      <c r="C18" s="22">
        <v>396359</v>
      </c>
      <c r="D18" s="22">
        <v>1144500781.8099995</v>
      </c>
      <c r="E18" s="8">
        <f t="shared" si="3"/>
        <v>7.3123570216220202</v>
      </c>
      <c r="F18" s="18">
        <f t="shared" si="4"/>
        <v>21114.692307025303</v>
      </c>
      <c r="G18" s="18">
        <f t="shared" si="5"/>
        <v>2887.5357486773346</v>
      </c>
      <c r="H18" s="28"/>
    </row>
    <row r="19" spans="1:13" x14ac:dyDescent="0.35">
      <c r="A19" s="7">
        <v>45748</v>
      </c>
      <c r="B19" s="22">
        <v>53797</v>
      </c>
      <c r="C19" s="22">
        <v>397661</v>
      </c>
      <c r="D19" s="22">
        <v>1175053546</v>
      </c>
      <c r="E19" s="8">
        <f t="shared" si="3"/>
        <v>7.3918805881368845</v>
      </c>
      <c r="F19" s="18">
        <f t="shared" si="4"/>
        <v>21842.36195326877</v>
      </c>
      <c r="G19" s="18">
        <f t="shared" si="5"/>
        <v>2954.9127171133205</v>
      </c>
      <c r="H19" s="28"/>
    </row>
    <row r="20" spans="1:13" x14ac:dyDescent="0.35">
      <c r="A20" s="7">
        <v>45778</v>
      </c>
      <c r="B20" s="22">
        <v>54942</v>
      </c>
      <c r="C20" s="22">
        <v>404378</v>
      </c>
      <c r="D20" s="22">
        <v>1206139048</v>
      </c>
      <c r="E20" s="8">
        <f t="shared" si="3"/>
        <v>7.3600888209384445</v>
      </c>
      <c r="F20" s="18">
        <f t="shared" si="4"/>
        <v>21952.951257689929</v>
      </c>
      <c r="G20" s="18">
        <f t="shared" si="5"/>
        <v>2982.7019471880271</v>
      </c>
      <c r="H20" s="28"/>
    </row>
    <row r="21" spans="1:13" x14ac:dyDescent="0.35">
      <c r="A21" s="7">
        <v>45809</v>
      </c>
      <c r="B21" s="22">
        <v>55602</v>
      </c>
      <c r="C21" s="22">
        <v>411290</v>
      </c>
      <c r="D21" s="22">
        <v>1234296157</v>
      </c>
      <c r="E21" s="8">
        <f t="shared" si="3"/>
        <v>7.3970360778389264</v>
      </c>
      <c r="F21" s="18">
        <f t="shared" si="4"/>
        <v>22198.772652062875</v>
      </c>
      <c r="G21" s="18">
        <f t="shared" si="5"/>
        <v>3001.0361472440372</v>
      </c>
      <c r="H21" s="28"/>
    </row>
    <row r="22" spans="1:13" x14ac:dyDescent="0.35">
      <c r="A22" s="7">
        <v>45839</v>
      </c>
      <c r="B22" s="22">
        <v>55569</v>
      </c>
      <c r="C22" s="22">
        <v>410830</v>
      </c>
      <c r="D22" s="22">
        <v>1239391474</v>
      </c>
      <c r="E22" s="8">
        <f t="shared" si="3"/>
        <v>7.3931508574924871</v>
      </c>
      <c r="F22" s="18">
        <f t="shared" si="4"/>
        <v>22303.649048930158</v>
      </c>
      <c r="G22" s="18">
        <f>F22/E22</f>
        <v>3016.7988559744904</v>
      </c>
      <c r="H22" s="28"/>
    </row>
    <row r="23" spans="1:13" x14ac:dyDescent="0.35">
      <c r="A23" s="7">
        <v>45870</v>
      </c>
      <c r="B23" s="22">
        <v>56267</v>
      </c>
      <c r="C23" s="22">
        <v>418131</v>
      </c>
      <c r="D23" s="22">
        <v>1271629112</v>
      </c>
      <c r="E23" s="8">
        <f t="shared" si="3"/>
        <v>7.4311941279968723</v>
      </c>
      <c r="F23" s="18">
        <f t="shared" si="4"/>
        <v>22599.909573995414</v>
      </c>
      <c r="G23" s="18">
        <f>F23/E23</f>
        <v>3041.2217989099108</v>
      </c>
    </row>
    <row r="24" spans="1:13" x14ac:dyDescent="0.35">
      <c r="A24" s="7">
        <v>45901</v>
      </c>
      <c r="B24" s="22">
        <v>57540</v>
      </c>
      <c r="C24" s="22">
        <v>422761</v>
      </c>
      <c r="D24" s="22">
        <v>1279141230</v>
      </c>
      <c r="E24" s="8">
        <f t="shared" ref="E24:E34" si="6">IFERROR(C24/B24,"")</f>
        <v>7.3472540841153977</v>
      </c>
      <c r="F24" s="18">
        <f t="shared" ref="F24:F34" si="7">IFERROR(D24/B24,"")</f>
        <v>22230.469760166841</v>
      </c>
      <c r="G24" s="18">
        <f t="shared" ref="G24:G29" si="8">IFERROR(F24/E24,"")</f>
        <v>3025.6840862804283</v>
      </c>
    </row>
    <row r="25" spans="1:13" x14ac:dyDescent="0.35">
      <c r="A25" s="7">
        <v>45931</v>
      </c>
      <c r="B25" s="22">
        <v>59549</v>
      </c>
      <c r="C25" s="22">
        <v>433248</v>
      </c>
      <c r="D25" s="22">
        <v>1313782128</v>
      </c>
      <c r="E25" s="8">
        <f t="shared" si="6"/>
        <v>7.2754874137265109</v>
      </c>
      <c r="F25" s="18">
        <f t="shared" si="7"/>
        <v>22062.203026079362</v>
      </c>
      <c r="G25" s="18">
        <f t="shared" si="8"/>
        <v>3032.4020607134944</v>
      </c>
    </row>
    <row r="26" spans="1:13" x14ac:dyDescent="0.35">
      <c r="A26" s="7">
        <v>45962</v>
      </c>
      <c r="B26" s="22">
        <v>60732</v>
      </c>
      <c r="C26" s="22">
        <v>435120</v>
      </c>
      <c r="D26" s="22">
        <v>1343209548</v>
      </c>
      <c r="E26" s="8">
        <f t="shared" si="6"/>
        <v>7.1645919778699865</v>
      </c>
      <c r="F26" s="18">
        <f t="shared" si="7"/>
        <v>22116.998419284726</v>
      </c>
      <c r="G26" s="18">
        <f t="shared" si="8"/>
        <v>3086.9864589078875</v>
      </c>
    </row>
    <row r="27" spans="1:13" ht="15" thickBot="1" x14ac:dyDescent="0.4">
      <c r="A27" s="9">
        <v>45992</v>
      </c>
      <c r="B27" s="23">
        <v>60949</v>
      </c>
      <c r="C27" s="23">
        <v>438176</v>
      </c>
      <c r="D27" s="23">
        <v>1352543440</v>
      </c>
      <c r="E27" s="10">
        <f t="shared" si="6"/>
        <v>7.1892237772563945</v>
      </c>
      <c r="F27" s="20">
        <f t="shared" si="7"/>
        <v>22191.396741538007</v>
      </c>
      <c r="G27" s="20">
        <f t="shared" si="8"/>
        <v>3086.7583801942596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64579</v>
      </c>
      <c r="C28" s="21">
        <v>489249</v>
      </c>
      <c r="D28" s="21">
        <v>1507784722</v>
      </c>
      <c r="E28" s="5">
        <f t="shared" si="6"/>
        <v>7.5759767106954277</v>
      </c>
      <c r="F28" s="18">
        <f t="shared" si="7"/>
        <v>23347.910652069557</v>
      </c>
      <c r="G28" s="18">
        <f t="shared" si="8"/>
        <v>3081.8350614922051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64955</v>
      </c>
      <c r="C29" s="22">
        <v>492813</v>
      </c>
      <c r="D29" s="22">
        <v>1533902010</v>
      </c>
      <c r="E29" s="8">
        <f t="shared" si="6"/>
        <v>7.586990993764914</v>
      </c>
      <c r="F29" s="18">
        <f t="shared" si="7"/>
        <v>23614.841197752288</v>
      </c>
      <c r="G29" s="18">
        <f t="shared" si="8"/>
        <v>3112.5437234813203</v>
      </c>
      <c r="H29" s="28"/>
    </row>
    <row r="30" spans="1:13" x14ac:dyDescent="0.35">
      <c r="A30" s="7">
        <v>46082</v>
      </c>
      <c r="B30" s="22">
        <v>65773</v>
      </c>
      <c r="C30" s="22">
        <v>502643</v>
      </c>
      <c r="D30" s="22">
        <v>1592398372</v>
      </c>
      <c r="E30" s="8">
        <f t="shared" si="6"/>
        <v>7.642087178629529</v>
      </c>
      <c r="F30" s="18">
        <f t="shared" si="7"/>
        <v>24210.517567999028</v>
      </c>
      <c r="G30" s="18">
        <f t="shared" ref="G30" si="9">IFERROR(F30/E30,"")</f>
        <v>3168.0504294300331</v>
      </c>
      <c r="H30" s="28"/>
    </row>
    <row r="31" spans="1:13" x14ac:dyDescent="0.35">
      <c r="A31" s="7">
        <v>46113</v>
      </c>
      <c r="B31" s="22">
        <v>65908</v>
      </c>
      <c r="C31" s="22">
        <v>507075</v>
      </c>
      <c r="D31" s="22">
        <v>1627868993</v>
      </c>
      <c r="E31" s="8">
        <f t="shared" si="6"/>
        <v>7.693679067791467</v>
      </c>
      <c r="F31" s="18">
        <f t="shared" si="7"/>
        <v>24699.110775626632</v>
      </c>
      <c r="G31" s="18">
        <f t="shared" ref="G31" si="10">IFERROR(F31/E31,"")</f>
        <v>3210.3120702065771</v>
      </c>
      <c r="H31" s="28"/>
    </row>
    <row r="32" spans="1:13" x14ac:dyDescent="0.35">
      <c r="A32" s="7">
        <v>46143</v>
      </c>
      <c r="B32" s="22">
        <v>66746</v>
      </c>
      <c r="C32" s="22">
        <v>519043</v>
      </c>
      <c r="D32" s="22">
        <v>1700204556</v>
      </c>
      <c r="E32" s="8">
        <f t="shared" si="6"/>
        <v>7.7763910945974288</v>
      </c>
      <c r="F32" s="18">
        <f t="shared" si="7"/>
        <v>25472.755760644832</v>
      </c>
      <c r="G32" s="18">
        <f t="shared" ref="G32" si="11">IFERROR(F32/E32,"")</f>
        <v>3275.6526068167764</v>
      </c>
      <c r="H32" s="28"/>
    </row>
    <row r="33" spans="1:13" x14ac:dyDescent="0.35">
      <c r="A33" s="7">
        <v>46174</v>
      </c>
      <c r="B33" s="22">
        <v>66927</v>
      </c>
      <c r="C33" s="22">
        <v>521333</v>
      </c>
      <c r="D33" s="22">
        <v>1711425197</v>
      </c>
      <c r="E33" s="8">
        <f t="shared" si="6"/>
        <v>7.789576702974883</v>
      </c>
      <c r="F33" s="18">
        <f t="shared" si="7"/>
        <v>25571.521164851256</v>
      </c>
      <c r="G33" s="18">
        <f t="shared" ref="G33" si="12">IFERROR(F33/E33,"")</f>
        <v>3282.7870037001303</v>
      </c>
      <c r="H33" s="28"/>
    </row>
    <row r="34" spans="1:13" x14ac:dyDescent="0.35">
      <c r="A34" s="7">
        <v>46204</v>
      </c>
      <c r="B34" s="22">
        <v>67445</v>
      </c>
      <c r="C34" s="22">
        <v>523580</v>
      </c>
      <c r="D34" s="22">
        <v>1707569440</v>
      </c>
      <c r="E34" s="8">
        <f t="shared" si="6"/>
        <v>7.7630662020905925</v>
      </c>
      <c r="F34" s="18">
        <f t="shared" si="7"/>
        <v>25317.954481429311</v>
      </c>
      <c r="G34" s="18">
        <f t="shared" ref="G34" si="13">IFERROR(F34/E34,"")</f>
        <v>3261.3343519614955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9667-F5FC-4CAD-9BD1-0DF0CED9D404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J35" sqref="J35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51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9639</v>
      </c>
      <c r="C4" s="21">
        <v>57134</v>
      </c>
      <c r="D4" s="21">
        <v>155853474.44</v>
      </c>
      <c r="E4" s="5">
        <f t="shared" ref="E4:E7" si="0">C4/B4</f>
        <v>5.9273783587509081</v>
      </c>
      <c r="F4" s="18">
        <f t="shared" ref="F4:F7" si="1">D4/B4</f>
        <v>16169.050154580351</v>
      </c>
      <c r="G4" s="18">
        <f t="shared" ref="G4:G9" si="2">F4/E4</f>
        <v>2727.8586207862218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9680</v>
      </c>
      <c r="C5" s="22">
        <v>57993</v>
      </c>
      <c r="D5" s="22">
        <v>161192278.79000002</v>
      </c>
      <c r="E5" s="8">
        <f t="shared" si="0"/>
        <v>5.9910123966942148</v>
      </c>
      <c r="F5" s="18">
        <f t="shared" si="1"/>
        <v>16652.094916322316</v>
      </c>
      <c r="G5" s="18">
        <f t="shared" si="2"/>
        <v>2779.512678944011</v>
      </c>
      <c r="H5" s="28"/>
    </row>
    <row r="6" spans="1:13" x14ac:dyDescent="0.35">
      <c r="A6" s="7">
        <v>45352</v>
      </c>
      <c r="B6" s="22">
        <v>9755</v>
      </c>
      <c r="C6" s="22">
        <v>59172</v>
      </c>
      <c r="D6" s="22">
        <v>166757494.69999999</v>
      </c>
      <c r="E6" s="8">
        <f t="shared" si="0"/>
        <v>6.0658124038954382</v>
      </c>
      <c r="F6" s="18">
        <f t="shared" si="1"/>
        <v>17094.566345463863</v>
      </c>
      <c r="G6" s="18">
        <f t="shared" si="2"/>
        <v>2818.1824967890216</v>
      </c>
      <c r="H6" s="28"/>
    </row>
    <row r="7" spans="1:13" ht="15" customHeight="1" x14ac:dyDescent="0.35">
      <c r="A7" s="7">
        <v>45383</v>
      </c>
      <c r="B7" s="22">
        <v>9751</v>
      </c>
      <c r="C7" s="22">
        <v>59583</v>
      </c>
      <c r="D7" s="22">
        <v>171511898.25999999</v>
      </c>
      <c r="E7" s="8">
        <f t="shared" si="0"/>
        <v>6.1104502102348475</v>
      </c>
      <c r="F7" s="18">
        <f t="shared" si="1"/>
        <v>17589.159907701775</v>
      </c>
      <c r="G7" s="18">
        <f t="shared" si="2"/>
        <v>2878.537473104745</v>
      </c>
      <c r="H7" s="28"/>
    </row>
    <row r="8" spans="1:13" x14ac:dyDescent="0.35">
      <c r="A8" s="7">
        <v>45413</v>
      </c>
      <c r="B8" s="22">
        <v>9840</v>
      </c>
      <c r="C8" s="22">
        <v>60069</v>
      </c>
      <c r="D8" s="22">
        <v>175384576.16</v>
      </c>
      <c r="E8" s="8">
        <f t="shared" ref="E8:E23" si="3">C8/B8</f>
        <v>6.1045731707317072</v>
      </c>
      <c r="F8" s="18">
        <f t="shared" ref="F8:F23" si="4">D8/B8</f>
        <v>17823.635788617885</v>
      </c>
      <c r="G8" s="18">
        <f t="shared" si="2"/>
        <v>2919.7185929514389</v>
      </c>
      <c r="H8" s="28"/>
    </row>
    <row r="9" spans="1:13" x14ac:dyDescent="0.35">
      <c r="A9" s="7">
        <v>45444</v>
      </c>
      <c r="B9" s="22">
        <v>9887</v>
      </c>
      <c r="C9" s="22">
        <v>60100</v>
      </c>
      <c r="D9" s="22">
        <v>178809745.02000001</v>
      </c>
      <c r="E9" s="8">
        <f t="shared" si="3"/>
        <v>6.078689187822393</v>
      </c>
      <c r="F9" s="18">
        <f t="shared" si="4"/>
        <v>18085.338830787903</v>
      </c>
      <c r="G9" s="18">
        <f t="shared" si="2"/>
        <v>2975.2037440931781</v>
      </c>
      <c r="H9" s="28"/>
    </row>
    <row r="10" spans="1:13" x14ac:dyDescent="0.35">
      <c r="A10" s="7">
        <v>45474</v>
      </c>
      <c r="B10" s="22">
        <v>9833</v>
      </c>
      <c r="C10" s="22">
        <v>59696</v>
      </c>
      <c r="D10" s="22">
        <v>176063170.19</v>
      </c>
      <c r="E10" s="8">
        <f t="shared" si="3"/>
        <v>6.0709854571341397</v>
      </c>
      <c r="F10" s="18">
        <f t="shared" si="4"/>
        <v>17905.336132411267</v>
      </c>
      <c r="G10" s="18">
        <f t="shared" ref="G10:G21" si="5">F10/E10</f>
        <v>2949.329438990887</v>
      </c>
      <c r="H10" s="28"/>
    </row>
    <row r="11" spans="1:13" x14ac:dyDescent="0.35">
      <c r="A11" s="7">
        <v>45505</v>
      </c>
      <c r="B11" s="22">
        <v>9803</v>
      </c>
      <c r="C11" s="22">
        <v>59974</v>
      </c>
      <c r="D11" s="22">
        <v>177934323.06999999</v>
      </c>
      <c r="E11" s="8">
        <f t="shared" si="3"/>
        <v>6.1179230847699682</v>
      </c>
      <c r="F11" s="18">
        <f t="shared" si="4"/>
        <v>18151.007147811895</v>
      </c>
      <c r="G11" s="18">
        <f t="shared" si="5"/>
        <v>2966.8576894987832</v>
      </c>
      <c r="H11" s="28"/>
    </row>
    <row r="12" spans="1:13" x14ac:dyDescent="0.35">
      <c r="A12" s="7">
        <v>45536</v>
      </c>
      <c r="B12" s="22">
        <v>9863</v>
      </c>
      <c r="C12" s="22">
        <v>60134</v>
      </c>
      <c r="D12" s="22">
        <v>182579322.04000005</v>
      </c>
      <c r="E12" s="8">
        <f t="shared" si="3"/>
        <v>6.0969279123998783</v>
      </c>
      <c r="F12" s="18">
        <f t="shared" si="4"/>
        <v>18511.540306194875</v>
      </c>
      <c r="G12" s="18">
        <f t="shared" si="5"/>
        <v>3036.2078364984877</v>
      </c>
      <c r="H12" s="28"/>
    </row>
    <row r="13" spans="1:13" x14ac:dyDescent="0.35">
      <c r="A13" s="7">
        <v>45566</v>
      </c>
      <c r="B13" s="22">
        <v>10040</v>
      </c>
      <c r="C13" s="22">
        <v>60845</v>
      </c>
      <c r="D13" s="22">
        <v>190129600.09000003</v>
      </c>
      <c r="E13" s="8">
        <f t="shared" si="3"/>
        <v>6.0602589641434266</v>
      </c>
      <c r="F13" s="18">
        <f t="shared" si="4"/>
        <v>18937.211164342632</v>
      </c>
      <c r="G13" s="18">
        <f t="shared" si="5"/>
        <v>3124.8188033527822</v>
      </c>
      <c r="H13" s="28"/>
    </row>
    <row r="14" spans="1:13" x14ac:dyDescent="0.35">
      <c r="A14" s="7">
        <v>45597</v>
      </c>
      <c r="B14" s="22">
        <v>9992</v>
      </c>
      <c r="C14" s="22">
        <v>58396</v>
      </c>
      <c r="D14" s="22">
        <v>182827403.35000002</v>
      </c>
      <c r="E14" s="8">
        <f t="shared" si="3"/>
        <v>5.8442754203362695</v>
      </c>
      <c r="F14" s="18">
        <f t="shared" si="4"/>
        <v>18297.378237590074</v>
      </c>
      <c r="G14" s="18">
        <f t="shared" si="5"/>
        <v>3130.8206615179124</v>
      </c>
      <c r="H14" s="28"/>
    </row>
    <row r="15" spans="1:13" ht="15" thickBot="1" x14ac:dyDescent="0.4">
      <c r="A15" s="9">
        <v>45627</v>
      </c>
      <c r="B15" s="23">
        <v>10024</v>
      </c>
      <c r="C15" s="23">
        <v>57816</v>
      </c>
      <c r="D15" s="23">
        <v>182726530.87999997</v>
      </c>
      <c r="E15" s="10">
        <f t="shared" si="3"/>
        <v>5.7677573822825217</v>
      </c>
      <c r="F15" s="20">
        <f t="shared" si="4"/>
        <v>18228.90371907422</v>
      </c>
      <c r="G15" s="20">
        <f t="shared" si="5"/>
        <v>3160.4837913380379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10146</v>
      </c>
      <c r="C16" s="21">
        <v>57867</v>
      </c>
      <c r="D16" s="21">
        <v>184227031.09000006</v>
      </c>
      <c r="E16" s="5">
        <f t="shared" si="3"/>
        <v>5.703429923122413</v>
      </c>
      <c r="F16" s="18">
        <f t="shared" si="4"/>
        <v>18157.602118076094</v>
      </c>
      <c r="G16" s="18">
        <f t="shared" si="5"/>
        <v>3183.6285117597258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10340</v>
      </c>
      <c r="C17" s="22">
        <v>59514</v>
      </c>
      <c r="D17" s="22">
        <v>196891653.06</v>
      </c>
      <c r="E17" s="8">
        <f t="shared" si="3"/>
        <v>5.7557059961315282</v>
      </c>
      <c r="F17" s="18">
        <f t="shared" si="4"/>
        <v>19041.745943907157</v>
      </c>
      <c r="G17" s="18">
        <f t="shared" si="5"/>
        <v>3308.3249833652585</v>
      </c>
      <c r="H17" s="28"/>
    </row>
    <row r="18" spans="1:13" x14ac:dyDescent="0.35">
      <c r="A18" s="7">
        <v>45717</v>
      </c>
      <c r="B18" s="22">
        <v>10599</v>
      </c>
      <c r="C18" s="22">
        <v>61584</v>
      </c>
      <c r="D18" s="22">
        <v>203617438.35999998</v>
      </c>
      <c r="E18" s="8">
        <f t="shared" si="3"/>
        <v>5.8103594678743278</v>
      </c>
      <c r="F18" s="18">
        <f t="shared" si="4"/>
        <v>19211.004657043115</v>
      </c>
      <c r="G18" s="18">
        <f t="shared" si="5"/>
        <v>3306.3366842036889</v>
      </c>
      <c r="H18" s="28"/>
    </row>
    <row r="19" spans="1:13" ht="15" customHeight="1" x14ac:dyDescent="0.35">
      <c r="A19" s="7">
        <v>45748</v>
      </c>
      <c r="B19" s="22">
        <v>10899</v>
      </c>
      <c r="C19" s="22">
        <v>63171</v>
      </c>
      <c r="D19" s="22">
        <v>214003356</v>
      </c>
      <c r="E19" s="8">
        <f t="shared" si="3"/>
        <v>5.7960363336085878</v>
      </c>
      <c r="F19" s="18">
        <f t="shared" si="4"/>
        <v>19635.136801541426</v>
      </c>
      <c r="G19" s="18">
        <f t="shared" si="5"/>
        <v>3387.683525668424</v>
      </c>
      <c r="H19" s="28"/>
    </row>
    <row r="20" spans="1:13" x14ac:dyDescent="0.35">
      <c r="A20" s="7">
        <v>45778</v>
      </c>
      <c r="B20" s="22">
        <v>11084</v>
      </c>
      <c r="C20" s="22">
        <v>63399</v>
      </c>
      <c r="D20" s="22">
        <v>216750216</v>
      </c>
      <c r="E20" s="8">
        <f t="shared" si="3"/>
        <v>5.7198664741970404</v>
      </c>
      <c r="F20" s="18">
        <f t="shared" si="4"/>
        <v>19555.234211476003</v>
      </c>
      <c r="G20" s="18">
        <f t="shared" si="5"/>
        <v>3418.8270477452329</v>
      </c>
      <c r="H20" s="28"/>
    </row>
    <row r="21" spans="1:13" x14ac:dyDescent="0.35">
      <c r="A21" s="7">
        <v>45809</v>
      </c>
      <c r="B21" s="22">
        <v>11427</v>
      </c>
      <c r="C21" s="22">
        <v>65512</v>
      </c>
      <c r="D21" s="22">
        <v>224340851</v>
      </c>
      <c r="E21" s="8">
        <f t="shared" si="3"/>
        <v>5.7330882996412003</v>
      </c>
      <c r="F21" s="18">
        <f t="shared" si="4"/>
        <v>19632.523934541001</v>
      </c>
      <c r="G21" s="18">
        <f t="shared" si="5"/>
        <v>3424.4237849554283</v>
      </c>
      <c r="H21" s="28"/>
    </row>
    <row r="22" spans="1:13" x14ac:dyDescent="0.35">
      <c r="A22" s="7">
        <v>45839</v>
      </c>
      <c r="B22" s="22">
        <v>11798</v>
      </c>
      <c r="C22" s="22">
        <v>66482</v>
      </c>
      <c r="D22" s="22">
        <v>229748300</v>
      </c>
      <c r="E22" s="8">
        <f t="shared" si="3"/>
        <v>5.6350228852347852</v>
      </c>
      <c r="F22" s="18">
        <f t="shared" si="4"/>
        <v>19473.495507713171</v>
      </c>
      <c r="G22" s="18">
        <f>F22/E22</f>
        <v>3455.7970578502454</v>
      </c>
      <c r="H22" s="28"/>
    </row>
    <row r="23" spans="1:13" x14ac:dyDescent="0.35">
      <c r="A23" s="7">
        <v>45870</v>
      </c>
      <c r="B23" s="22">
        <v>12042</v>
      </c>
      <c r="C23" s="22">
        <v>67932</v>
      </c>
      <c r="D23" s="22">
        <v>237826511</v>
      </c>
      <c r="E23" s="8">
        <f t="shared" si="3"/>
        <v>5.6412556053811658</v>
      </c>
      <c r="F23" s="18">
        <f t="shared" si="4"/>
        <v>19749.751785417706</v>
      </c>
      <c r="G23" s="18">
        <f>F23/E23</f>
        <v>3500.9496408172881</v>
      </c>
    </row>
    <row r="24" spans="1:13" x14ac:dyDescent="0.35">
      <c r="A24" s="7">
        <v>45901</v>
      </c>
      <c r="B24" s="22">
        <v>12526</v>
      </c>
      <c r="C24" s="22">
        <v>68728</v>
      </c>
      <c r="D24" s="22">
        <v>239198886</v>
      </c>
      <c r="E24" s="8">
        <f t="shared" ref="E24:E34" si="6">IFERROR(C24/B24,"")</f>
        <v>5.4868273990100587</v>
      </c>
      <c r="F24" s="18">
        <f t="shared" ref="F24:F34" si="7">IFERROR(D24/B24,"")</f>
        <v>19096.190803129492</v>
      </c>
      <c r="G24" s="18">
        <f t="shared" ref="G24:G29" si="8">IFERROR(F24/E24,"")</f>
        <v>3480.3702421138405</v>
      </c>
    </row>
    <row r="25" spans="1:13" x14ac:dyDescent="0.35">
      <c r="A25" s="7">
        <v>45931</v>
      </c>
      <c r="B25" s="22">
        <v>13028</v>
      </c>
      <c r="C25" s="22">
        <v>70156</v>
      </c>
      <c r="D25" s="22">
        <v>243073364</v>
      </c>
      <c r="E25" s="8">
        <f t="shared" si="6"/>
        <v>5.3850168867055572</v>
      </c>
      <c r="F25" s="18">
        <f t="shared" si="7"/>
        <v>18657.765121277251</v>
      </c>
      <c r="G25" s="18">
        <f t="shared" si="8"/>
        <v>3464.755174183249</v>
      </c>
    </row>
    <row r="26" spans="1:13" x14ac:dyDescent="0.35">
      <c r="A26" s="7">
        <v>45962</v>
      </c>
      <c r="B26" s="22">
        <v>13473</v>
      </c>
      <c r="C26" s="22">
        <v>71321</v>
      </c>
      <c r="D26" s="22">
        <v>252820598</v>
      </c>
      <c r="E26" s="8">
        <f t="shared" si="6"/>
        <v>5.2936242856082538</v>
      </c>
      <c r="F26" s="18">
        <f t="shared" si="7"/>
        <v>18764.98166703778</v>
      </c>
      <c r="G26" s="18">
        <f t="shared" si="8"/>
        <v>3544.8268812832125</v>
      </c>
    </row>
    <row r="27" spans="1:13" ht="15" thickBot="1" x14ac:dyDescent="0.4">
      <c r="A27" s="9">
        <v>45992</v>
      </c>
      <c r="B27" s="23">
        <v>13627</v>
      </c>
      <c r="C27" s="23">
        <v>72300</v>
      </c>
      <c r="D27" s="23">
        <v>253539476</v>
      </c>
      <c r="E27" s="10">
        <f t="shared" si="6"/>
        <v>5.3056432083363907</v>
      </c>
      <c r="F27" s="20">
        <f t="shared" si="7"/>
        <v>18605.670800616423</v>
      </c>
      <c r="G27" s="20">
        <f t="shared" si="8"/>
        <v>3506.7700691562932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10492</v>
      </c>
      <c r="C28" s="21">
        <v>48044</v>
      </c>
      <c r="D28" s="21">
        <v>153482600</v>
      </c>
      <c r="E28" s="5">
        <f t="shared" si="6"/>
        <v>4.5791078917270305</v>
      </c>
      <c r="F28" s="18">
        <f t="shared" si="7"/>
        <v>14628.536027449485</v>
      </c>
      <c r="G28" s="18">
        <f t="shared" si="8"/>
        <v>3194.6257597202562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10552</v>
      </c>
      <c r="C29" s="22">
        <v>48327</v>
      </c>
      <c r="D29" s="22">
        <v>155697759</v>
      </c>
      <c r="E29" s="8">
        <f t="shared" si="6"/>
        <v>4.5798900682335102</v>
      </c>
      <c r="F29" s="18">
        <f t="shared" si="7"/>
        <v>14755.284211523882</v>
      </c>
      <c r="G29" s="18">
        <f t="shared" si="8"/>
        <v>3221.7551058414551</v>
      </c>
      <c r="H29" s="28"/>
    </row>
    <row r="30" spans="1:13" x14ac:dyDescent="0.35">
      <c r="A30" s="7">
        <v>46082</v>
      </c>
      <c r="B30" s="22">
        <v>10628</v>
      </c>
      <c r="C30" s="22">
        <v>49076</v>
      </c>
      <c r="D30" s="22">
        <v>162837222</v>
      </c>
      <c r="E30" s="8">
        <f t="shared" si="6"/>
        <v>4.6176138502070003</v>
      </c>
      <c r="F30" s="18">
        <f t="shared" si="7"/>
        <v>15321.530109145653</v>
      </c>
      <c r="G30" s="18">
        <f t="shared" ref="G30" si="9">IFERROR(F30/E30,"")</f>
        <v>3318.0622300105961</v>
      </c>
      <c r="H30" s="28"/>
    </row>
    <row r="31" spans="1:13" ht="15" customHeight="1" x14ac:dyDescent="0.35">
      <c r="A31" s="7">
        <v>46113</v>
      </c>
      <c r="B31" s="22">
        <v>10750</v>
      </c>
      <c r="C31" s="22">
        <v>49839</v>
      </c>
      <c r="D31" s="22">
        <v>168589133</v>
      </c>
      <c r="E31" s="8">
        <f t="shared" si="6"/>
        <v>4.6361860465116278</v>
      </c>
      <c r="F31" s="18">
        <f t="shared" si="7"/>
        <v>15682.710046511627</v>
      </c>
      <c r="G31" s="18">
        <f t="shared" ref="G31" si="10">IFERROR(F31/E31,"")</f>
        <v>3382.6748730913541</v>
      </c>
      <c r="H31" s="28"/>
    </row>
    <row r="32" spans="1:13" x14ac:dyDescent="0.35">
      <c r="A32" s="7">
        <v>46143</v>
      </c>
      <c r="B32" s="22">
        <v>10843</v>
      </c>
      <c r="C32" s="22">
        <v>50629</v>
      </c>
      <c r="D32" s="22">
        <v>174220557</v>
      </c>
      <c r="E32" s="8">
        <f t="shared" si="6"/>
        <v>4.6692797196347877</v>
      </c>
      <c r="F32" s="18">
        <f t="shared" si="7"/>
        <v>16067.560361523563</v>
      </c>
      <c r="G32" s="18">
        <f t="shared" ref="G32" si="11">IFERROR(F32/E32,"")</f>
        <v>3441.121827411167</v>
      </c>
      <c r="H32" s="28"/>
    </row>
    <row r="33" spans="1:13" x14ac:dyDescent="0.35">
      <c r="A33" s="7">
        <v>46174</v>
      </c>
      <c r="B33" s="22">
        <v>10940</v>
      </c>
      <c r="C33" s="22">
        <v>50647</v>
      </c>
      <c r="D33" s="22">
        <v>176725412</v>
      </c>
      <c r="E33" s="8">
        <f t="shared" si="6"/>
        <v>4.6295246800731258</v>
      </c>
      <c r="F33" s="18">
        <f t="shared" si="7"/>
        <v>16154.059597806216</v>
      </c>
      <c r="G33" s="18">
        <f t="shared" ref="G33:G34" si="12">IFERROR(F33/E33,"")</f>
        <v>3489.3559737003179</v>
      </c>
      <c r="H33" s="28"/>
    </row>
    <row r="34" spans="1:13" x14ac:dyDescent="0.35">
      <c r="A34" s="7">
        <v>46204</v>
      </c>
      <c r="B34" s="22">
        <v>10981</v>
      </c>
      <c r="C34" s="22">
        <v>51022</v>
      </c>
      <c r="D34" s="22">
        <v>173671260</v>
      </c>
      <c r="E34" s="8">
        <f t="shared" si="6"/>
        <v>4.6463892177397321</v>
      </c>
      <c r="F34" s="18">
        <f t="shared" si="7"/>
        <v>15815.614242782989</v>
      </c>
      <c r="G34" s="18">
        <f t="shared" si="12"/>
        <v>3403.850495864529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50F9-55AC-44F4-B16E-50CC438ED0F6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H33" sqref="H33"/>
    </sheetView>
  </sheetViews>
  <sheetFormatPr defaultColWidth="9.1796875" defaultRowHeight="14.5" x14ac:dyDescent="0.35"/>
  <cols>
    <col min="1" max="3" width="16.26953125" style="1" customWidth="1"/>
    <col min="4" max="4" width="18.6328125" style="1" bestFit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52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368790</v>
      </c>
      <c r="C4" s="21">
        <v>3675270</v>
      </c>
      <c r="D4" s="21">
        <v>9857112528.2199936</v>
      </c>
      <c r="E4" s="5">
        <f t="shared" ref="E4:E7" si="0">C4/B4</f>
        <v>9.9657528674855609</v>
      </c>
      <c r="F4" s="18">
        <f t="shared" ref="F4:F7" si="1">D4/B4</f>
        <v>26728.253282952341</v>
      </c>
      <c r="G4" s="18">
        <f t="shared" ref="G4:G9" si="2">F4/E4</f>
        <v>2682.0104450067597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369465</v>
      </c>
      <c r="C5" s="22">
        <v>3711211</v>
      </c>
      <c r="D5" s="22">
        <v>10100742344.009995</v>
      </c>
      <c r="E5" s="8">
        <f t="shared" si="0"/>
        <v>10.044824272935189</v>
      </c>
      <c r="F5" s="18">
        <f t="shared" si="1"/>
        <v>27338.834108805961</v>
      </c>
      <c r="G5" s="18">
        <f t="shared" si="2"/>
        <v>2721.6836617508397</v>
      </c>
      <c r="H5" s="28"/>
    </row>
    <row r="6" spans="1:13" x14ac:dyDescent="0.35">
      <c r="A6" s="7">
        <v>45352</v>
      </c>
      <c r="B6" s="22">
        <v>373137</v>
      </c>
      <c r="C6" s="22">
        <v>3782818</v>
      </c>
      <c r="D6" s="22">
        <v>10492638804.120001</v>
      </c>
      <c r="E6" s="8">
        <f t="shared" si="0"/>
        <v>10.137879652781686</v>
      </c>
      <c r="F6" s="18">
        <f t="shared" si="1"/>
        <v>28120.070655335709</v>
      </c>
      <c r="G6" s="18">
        <f t="shared" si="2"/>
        <v>2773.7625241605597</v>
      </c>
      <c r="H6" s="28"/>
    </row>
    <row r="7" spans="1:13" x14ac:dyDescent="0.35">
      <c r="A7" s="7">
        <v>45383</v>
      </c>
      <c r="B7" s="22">
        <v>372695</v>
      </c>
      <c r="C7" s="22">
        <v>3798388</v>
      </c>
      <c r="D7" s="22">
        <v>10717238591.659994</v>
      </c>
      <c r="E7" s="8">
        <f t="shared" si="0"/>
        <v>10.191679523470935</v>
      </c>
      <c r="F7" s="18">
        <f t="shared" si="1"/>
        <v>28756.056806933266</v>
      </c>
      <c r="G7" s="18">
        <f t="shared" si="2"/>
        <v>2821.5228648732023</v>
      </c>
      <c r="H7" s="28"/>
    </row>
    <row r="8" spans="1:13" x14ac:dyDescent="0.35">
      <c r="A8" s="7">
        <v>45413</v>
      </c>
      <c r="B8" s="22">
        <v>361004</v>
      </c>
      <c r="C8" s="22">
        <v>3749043</v>
      </c>
      <c r="D8" s="22">
        <v>10560359800.140007</v>
      </c>
      <c r="E8" s="8">
        <f t="shared" ref="E8:E23" si="3">C8/B8</f>
        <v>10.385045595062659</v>
      </c>
      <c r="F8" s="18">
        <f t="shared" ref="F8:F23" si="4">D8/B8</f>
        <v>29252.75010841987</v>
      </c>
      <c r="G8" s="18">
        <f t="shared" si="2"/>
        <v>2816.8147978404108</v>
      </c>
      <c r="H8" s="28"/>
    </row>
    <row r="9" spans="1:13" x14ac:dyDescent="0.35">
      <c r="A9" s="7">
        <v>45444</v>
      </c>
      <c r="B9" s="22">
        <v>350489</v>
      </c>
      <c r="C9" s="22">
        <v>3675496</v>
      </c>
      <c r="D9" s="22">
        <v>10331741385.48</v>
      </c>
      <c r="E9" s="8">
        <f t="shared" si="3"/>
        <v>10.486765633158244</v>
      </c>
      <c r="F9" s="18">
        <f t="shared" si="4"/>
        <v>29478.076018020536</v>
      </c>
      <c r="G9" s="18">
        <f t="shared" si="2"/>
        <v>2810.9788136023003</v>
      </c>
      <c r="H9" s="28"/>
    </row>
    <row r="10" spans="1:13" x14ac:dyDescent="0.35">
      <c r="A10" s="7">
        <v>45474</v>
      </c>
      <c r="B10" s="22">
        <v>361985</v>
      </c>
      <c r="C10" s="22">
        <v>3677282</v>
      </c>
      <c r="D10" s="22">
        <v>10293200706.940001</v>
      </c>
      <c r="E10" s="8">
        <f t="shared" si="3"/>
        <v>10.158658507949225</v>
      </c>
      <c r="F10" s="18">
        <f t="shared" si="4"/>
        <v>28435.434360374049</v>
      </c>
      <c r="G10" s="18">
        <f t="shared" ref="G10:G21" si="5">F10/E10</f>
        <v>2799.1328124794345</v>
      </c>
      <c r="H10" s="28"/>
    </row>
    <row r="11" spans="1:13" x14ac:dyDescent="0.35">
      <c r="A11" s="7">
        <v>45505</v>
      </c>
      <c r="B11" s="22">
        <v>361459</v>
      </c>
      <c r="C11" s="22">
        <v>3658467</v>
      </c>
      <c r="D11" s="22">
        <v>10247135272.640001</v>
      </c>
      <c r="E11" s="8">
        <f t="shared" si="3"/>
        <v>10.121388594557059</v>
      </c>
      <c r="F11" s="18">
        <f t="shared" si="4"/>
        <v>28349.370945639759</v>
      </c>
      <c r="G11" s="18">
        <f t="shared" si="5"/>
        <v>2800.9369150083908</v>
      </c>
      <c r="H11" s="28"/>
    </row>
    <row r="12" spans="1:13" x14ac:dyDescent="0.35">
      <c r="A12" s="7">
        <v>45536</v>
      </c>
      <c r="B12" s="22">
        <v>365172</v>
      </c>
      <c r="C12" s="22">
        <v>3665216</v>
      </c>
      <c r="D12" s="22">
        <v>10288009932.149998</v>
      </c>
      <c r="E12" s="8">
        <f t="shared" si="3"/>
        <v>10.036957926675649</v>
      </c>
      <c r="F12" s="18">
        <f t="shared" si="4"/>
        <v>28173.052512651568</v>
      </c>
      <c r="G12" s="18">
        <f t="shared" si="5"/>
        <v>2806.9314147242612</v>
      </c>
      <c r="H12" s="28"/>
    </row>
    <row r="13" spans="1:13" x14ac:dyDescent="0.35">
      <c r="A13" s="7">
        <v>45566</v>
      </c>
      <c r="B13" s="22">
        <v>362122</v>
      </c>
      <c r="C13" s="22">
        <v>3528143</v>
      </c>
      <c r="D13" s="22">
        <v>10109801098.130001</v>
      </c>
      <c r="E13" s="8">
        <f t="shared" si="3"/>
        <v>9.7429678395678803</v>
      </c>
      <c r="F13" s="18">
        <f t="shared" si="4"/>
        <v>27918.218440553188</v>
      </c>
      <c r="G13" s="18">
        <f t="shared" si="5"/>
        <v>2865.4737345198314</v>
      </c>
      <c r="H13" s="28"/>
    </row>
    <row r="14" spans="1:13" x14ac:dyDescent="0.35">
      <c r="A14" s="7">
        <v>45597</v>
      </c>
      <c r="B14" s="22">
        <v>364881</v>
      </c>
      <c r="C14" s="22">
        <v>3523598</v>
      </c>
      <c r="D14" s="22">
        <v>10129873784.489996</v>
      </c>
      <c r="E14" s="8">
        <f t="shared" si="3"/>
        <v>9.6568415455997982</v>
      </c>
      <c r="F14" s="18">
        <f t="shared" si="4"/>
        <v>27762.130076627713</v>
      </c>
      <c r="G14" s="18">
        <f t="shared" si="5"/>
        <v>2874.8664815027132</v>
      </c>
      <c r="H14" s="28"/>
    </row>
    <row r="15" spans="1:13" ht="15" thickBot="1" x14ac:dyDescent="0.4">
      <c r="A15" s="9">
        <v>45627</v>
      </c>
      <c r="B15" s="23">
        <v>363192</v>
      </c>
      <c r="C15" s="23">
        <v>3491835</v>
      </c>
      <c r="D15" s="23">
        <v>9823275372.3800068</v>
      </c>
      <c r="E15" s="10">
        <f t="shared" si="3"/>
        <v>9.6142949183902733</v>
      </c>
      <c r="F15" s="20">
        <f t="shared" si="4"/>
        <v>27047.058779874023</v>
      </c>
      <c r="G15" s="20">
        <f t="shared" si="5"/>
        <v>2813.2129302730532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366132</v>
      </c>
      <c r="C16" s="21">
        <v>3521268</v>
      </c>
      <c r="D16" s="21">
        <v>9977231164.470005</v>
      </c>
      <c r="E16" s="5">
        <f t="shared" si="3"/>
        <v>9.6174822195273837</v>
      </c>
      <c r="F16" s="18">
        <f t="shared" si="4"/>
        <v>27250.366437432414</v>
      </c>
      <c r="G16" s="18">
        <f t="shared" si="5"/>
        <v>2833.4199965665789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372975</v>
      </c>
      <c r="C17" s="22">
        <v>3701570</v>
      </c>
      <c r="D17" s="22">
        <v>11092525793.98</v>
      </c>
      <c r="E17" s="8">
        <f t="shared" si="3"/>
        <v>9.9244453381593942</v>
      </c>
      <c r="F17" s="18">
        <f t="shared" si="4"/>
        <v>29740.668393270324</v>
      </c>
      <c r="G17" s="18">
        <f t="shared" si="5"/>
        <v>2996.7083680654423</v>
      </c>
      <c r="H17" s="28"/>
    </row>
    <row r="18" spans="1:13" x14ac:dyDescent="0.35">
      <c r="A18" s="7">
        <v>45717</v>
      </c>
      <c r="B18" s="22">
        <v>381029</v>
      </c>
      <c r="C18" s="22">
        <v>3755884</v>
      </c>
      <c r="D18" s="22">
        <v>11476541096.300007</v>
      </c>
      <c r="E18" s="8">
        <f t="shared" si="3"/>
        <v>9.8572129680418019</v>
      </c>
      <c r="F18" s="18">
        <f t="shared" si="4"/>
        <v>30119.862520438095</v>
      </c>
      <c r="G18" s="18">
        <f t="shared" si="5"/>
        <v>3055.6164930280083</v>
      </c>
      <c r="H18" s="28"/>
    </row>
    <row r="19" spans="1:13" x14ac:dyDescent="0.35">
      <c r="A19" s="7">
        <v>45748</v>
      </c>
      <c r="B19" s="22">
        <v>395923</v>
      </c>
      <c r="C19" s="22">
        <v>3912569</v>
      </c>
      <c r="D19" s="22">
        <v>12050029180</v>
      </c>
      <c r="E19" s="8">
        <f t="shared" si="3"/>
        <v>9.8821462759172878</v>
      </c>
      <c r="F19" s="18">
        <f t="shared" si="4"/>
        <v>30435.284588164872</v>
      </c>
      <c r="G19" s="18">
        <f t="shared" si="5"/>
        <v>3079.8253474890794</v>
      </c>
      <c r="H19" s="28"/>
    </row>
    <row r="20" spans="1:13" x14ac:dyDescent="0.35">
      <c r="A20" s="7">
        <v>45778</v>
      </c>
      <c r="B20" s="22">
        <v>409000</v>
      </c>
      <c r="C20" s="22">
        <v>4068854</v>
      </c>
      <c r="D20" s="22">
        <v>12451079962</v>
      </c>
      <c r="E20" s="8">
        <f t="shared" si="3"/>
        <v>9.9482982885085569</v>
      </c>
      <c r="F20" s="18">
        <f t="shared" si="4"/>
        <v>30442.738293398532</v>
      </c>
      <c r="G20" s="18">
        <f t="shared" si="5"/>
        <v>3060.0950444523201</v>
      </c>
      <c r="H20" s="28"/>
    </row>
    <row r="21" spans="1:13" x14ac:dyDescent="0.35">
      <c r="A21" s="7">
        <v>45809</v>
      </c>
      <c r="B21" s="22">
        <v>414615</v>
      </c>
      <c r="C21" s="22">
        <v>4224162</v>
      </c>
      <c r="D21" s="22">
        <v>13092414983</v>
      </c>
      <c r="E21" s="8">
        <f t="shared" si="3"/>
        <v>10.18815527658189</v>
      </c>
      <c r="F21" s="18">
        <f t="shared" si="4"/>
        <v>31577.282498221241</v>
      </c>
      <c r="G21" s="18">
        <f t="shared" si="5"/>
        <v>3099.411192799897</v>
      </c>
      <c r="H21" s="28"/>
    </row>
    <row r="22" spans="1:13" x14ac:dyDescent="0.35">
      <c r="A22" s="7">
        <v>45839</v>
      </c>
      <c r="B22" s="22">
        <v>428206</v>
      </c>
      <c r="C22" s="22">
        <v>4326016</v>
      </c>
      <c r="D22" s="22">
        <v>13575013205</v>
      </c>
      <c r="E22" s="8">
        <f t="shared" si="3"/>
        <v>10.102651527535812</v>
      </c>
      <c r="F22" s="18">
        <f t="shared" si="4"/>
        <v>31702.062103286735</v>
      </c>
      <c r="G22" s="18">
        <f>F22/E22</f>
        <v>3137.9942203172618</v>
      </c>
      <c r="H22" s="28"/>
    </row>
    <row r="23" spans="1:13" x14ac:dyDescent="0.35">
      <c r="A23" s="7">
        <v>45870</v>
      </c>
      <c r="B23" s="22">
        <v>438229</v>
      </c>
      <c r="C23" s="22">
        <v>4462561</v>
      </c>
      <c r="D23" s="22">
        <v>14255324542</v>
      </c>
      <c r="E23" s="8">
        <f t="shared" si="3"/>
        <v>10.183171355615443</v>
      </c>
      <c r="F23" s="18">
        <f t="shared" si="4"/>
        <v>32529.395685817231</v>
      </c>
      <c r="G23" s="18">
        <f>F23/E23</f>
        <v>3194.4268194877336</v>
      </c>
    </row>
    <row r="24" spans="1:13" x14ac:dyDescent="0.35">
      <c r="A24" s="7">
        <v>45901</v>
      </c>
      <c r="B24" s="22">
        <v>458785</v>
      </c>
      <c r="C24" s="22">
        <v>4562032</v>
      </c>
      <c r="D24" s="22">
        <v>14541784372</v>
      </c>
      <c r="E24" s="8">
        <f t="shared" ref="E24:E34" si="6">IFERROR(C24/B24,"")</f>
        <v>9.9437252743659883</v>
      </c>
      <c r="F24" s="18">
        <f t="shared" ref="F24:F34" si="7">IFERROR(D24/B24,"")</f>
        <v>31696.29428163519</v>
      </c>
      <c r="G24" s="18">
        <f t="shared" ref="G24:G29" si="8">IFERROR(F24/E24,"")</f>
        <v>3187.5673761166076</v>
      </c>
    </row>
    <row r="25" spans="1:13" x14ac:dyDescent="0.35">
      <c r="A25" s="7">
        <v>45931</v>
      </c>
      <c r="B25" s="22">
        <v>477787</v>
      </c>
      <c r="C25" s="22">
        <v>4636673</v>
      </c>
      <c r="D25" s="22">
        <v>14883108279</v>
      </c>
      <c r="E25" s="8">
        <f t="shared" si="6"/>
        <v>9.7044770996280771</v>
      </c>
      <c r="F25" s="18">
        <f t="shared" si="7"/>
        <v>31150.090477555899</v>
      </c>
      <c r="G25" s="18">
        <f t="shared" si="8"/>
        <v>3209.8679978079108</v>
      </c>
    </row>
    <row r="26" spans="1:13" x14ac:dyDescent="0.35">
      <c r="A26" s="7">
        <v>45962</v>
      </c>
      <c r="B26" s="22">
        <v>487870</v>
      </c>
      <c r="C26" s="22">
        <v>4664347</v>
      </c>
      <c r="D26" s="22">
        <v>15347976512</v>
      </c>
      <c r="E26" s="8">
        <f t="shared" si="6"/>
        <v>9.5606350052268017</v>
      </c>
      <c r="F26" s="18">
        <f t="shared" si="7"/>
        <v>31459.15205280095</v>
      </c>
      <c r="G26" s="18">
        <f t="shared" si="8"/>
        <v>3290.4877171445437</v>
      </c>
    </row>
    <row r="27" spans="1:13" ht="15" thickBot="1" x14ac:dyDescent="0.4">
      <c r="A27" s="9">
        <v>45992</v>
      </c>
      <c r="B27" s="23">
        <v>491945</v>
      </c>
      <c r="C27" s="23">
        <v>4701137</v>
      </c>
      <c r="D27" s="23">
        <v>15516346822</v>
      </c>
      <c r="E27" s="10">
        <f t="shared" si="6"/>
        <v>9.5562247812255432</v>
      </c>
      <c r="F27" s="20">
        <f t="shared" si="7"/>
        <v>31540.816192867089</v>
      </c>
      <c r="G27" s="20">
        <f t="shared" si="8"/>
        <v>3300.5519349893443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497006</v>
      </c>
      <c r="C28" s="21">
        <v>4760644</v>
      </c>
      <c r="D28" s="21">
        <v>15769279716</v>
      </c>
      <c r="E28" s="5">
        <f t="shared" si="6"/>
        <v>9.5786449258157855</v>
      </c>
      <c r="F28" s="18">
        <f t="shared" si="7"/>
        <v>31728.549989336145</v>
      </c>
      <c r="G28" s="18">
        <f t="shared" si="8"/>
        <v>3312.4257381984453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503478</v>
      </c>
      <c r="C29" s="22">
        <v>4813320</v>
      </c>
      <c r="D29" s="22">
        <v>16084395248</v>
      </c>
      <c r="E29" s="8">
        <f t="shared" si="6"/>
        <v>9.5601396684661495</v>
      </c>
      <c r="F29" s="18">
        <f t="shared" si="7"/>
        <v>31946.570154008714</v>
      </c>
      <c r="G29" s="18">
        <f t="shared" si="8"/>
        <v>3341.642618400605</v>
      </c>
      <c r="H29" s="28"/>
    </row>
    <row r="30" spans="1:13" x14ac:dyDescent="0.35">
      <c r="A30" s="7">
        <v>46082</v>
      </c>
      <c r="B30" s="22">
        <v>510021</v>
      </c>
      <c r="C30" s="22">
        <v>4958101</v>
      </c>
      <c r="D30" s="22">
        <v>16908662555</v>
      </c>
      <c r="E30" s="8">
        <f t="shared" si="6"/>
        <v>9.7213663751100441</v>
      </c>
      <c r="F30" s="18">
        <f t="shared" si="7"/>
        <v>33152.875185531579</v>
      </c>
      <c r="G30" s="18">
        <f t="shared" ref="G30" si="9">IFERROR(F30/E30,"")</f>
        <v>3410.3102286540757</v>
      </c>
      <c r="H30" s="28"/>
    </row>
    <row r="31" spans="1:13" x14ac:dyDescent="0.35">
      <c r="A31" s="7">
        <v>46113</v>
      </c>
      <c r="B31" s="22">
        <v>518195</v>
      </c>
      <c r="C31" s="22">
        <v>5226598</v>
      </c>
      <c r="D31" s="22">
        <v>17808769168</v>
      </c>
      <c r="E31" s="8">
        <f t="shared" si="6"/>
        <v>10.086160615212419</v>
      </c>
      <c r="F31" s="18">
        <f t="shared" si="7"/>
        <v>34366.925902411254</v>
      </c>
      <c r="G31" s="18">
        <f t="shared" ref="G31" si="10">IFERROR(F31/E31,"")</f>
        <v>3407.3347841176997</v>
      </c>
      <c r="H31" s="28"/>
    </row>
    <row r="32" spans="1:13" x14ac:dyDescent="0.35">
      <c r="A32" s="7">
        <v>46143</v>
      </c>
      <c r="B32" s="22">
        <v>522521</v>
      </c>
      <c r="C32" s="22">
        <v>5393606</v>
      </c>
      <c r="D32" s="22">
        <v>18700736329</v>
      </c>
      <c r="E32" s="8">
        <f t="shared" si="6"/>
        <v>10.322276042493986</v>
      </c>
      <c r="F32" s="18">
        <f t="shared" si="7"/>
        <v>35789.444498881385</v>
      </c>
      <c r="G32" s="18">
        <f t="shared" ref="G32" si="11">IFERROR(F32/E32,"")</f>
        <v>3467.2047474361311</v>
      </c>
      <c r="H32" s="28"/>
    </row>
    <row r="33" spans="1:13" x14ac:dyDescent="0.35">
      <c r="A33" s="7">
        <v>46174</v>
      </c>
      <c r="B33" s="22">
        <v>527555</v>
      </c>
      <c r="C33" s="22">
        <v>5443734</v>
      </c>
      <c r="D33" s="22">
        <v>19000612783</v>
      </c>
      <c r="E33" s="8">
        <f t="shared" si="6"/>
        <v>10.318798987783264</v>
      </c>
      <c r="F33" s="18">
        <f t="shared" si="7"/>
        <v>36016.363759228894</v>
      </c>
      <c r="G33" s="18">
        <f t="shared" ref="G33" si="12">IFERROR(F33/E33,"")</f>
        <v>3490.3639272234827</v>
      </c>
      <c r="H33" s="28"/>
    </row>
    <row r="34" spans="1:13" x14ac:dyDescent="0.35">
      <c r="A34" s="7">
        <v>46204</v>
      </c>
      <c r="B34" s="22">
        <v>533041</v>
      </c>
      <c r="C34" s="22">
        <v>5556679</v>
      </c>
      <c r="D34" s="22">
        <v>19722847212</v>
      </c>
      <c r="E34" s="8">
        <f t="shared" si="6"/>
        <v>10.424487046962616</v>
      </c>
      <c r="F34" s="18">
        <f t="shared" si="7"/>
        <v>37000.619487056341</v>
      </c>
      <c r="G34" s="18">
        <f t="shared" ref="G34" si="13">IFERROR(F34/E34,"")</f>
        <v>3549.394739555767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E8F6-AE7A-4B6B-A322-09C2B2CD0696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J32" sqref="J32"/>
    </sheetView>
  </sheetViews>
  <sheetFormatPr defaultColWidth="9.1796875" defaultRowHeight="14.5" x14ac:dyDescent="0.35"/>
  <cols>
    <col min="1" max="3" width="16.26953125" style="1" customWidth="1"/>
    <col min="4" max="4" width="18.6328125" style="1" bestFit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53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294876</v>
      </c>
      <c r="C4" s="21">
        <v>2431225</v>
      </c>
      <c r="D4" s="21">
        <v>6849115643.1200056</v>
      </c>
      <c r="E4" s="5">
        <f t="shared" ref="E4:E7" si="0">C4/B4</f>
        <v>8.2449063335096788</v>
      </c>
      <c r="F4" s="18">
        <f t="shared" ref="F4:F7" si="1">D4/B4</f>
        <v>23227.10442057002</v>
      </c>
      <c r="G4" s="18">
        <f t="shared" ref="G4:G9" si="2">F4/E4</f>
        <v>2817.1459421156023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294792</v>
      </c>
      <c r="C5" s="22">
        <v>2447571</v>
      </c>
      <c r="D5" s="22">
        <v>6986603634.329999</v>
      </c>
      <c r="E5" s="8">
        <f t="shared" si="0"/>
        <v>8.3027049580721322</v>
      </c>
      <c r="F5" s="18">
        <f t="shared" si="1"/>
        <v>23700.11273823577</v>
      </c>
      <c r="G5" s="18">
        <f t="shared" si="2"/>
        <v>2854.504990592714</v>
      </c>
      <c r="H5" s="28"/>
    </row>
    <row r="6" spans="1:13" x14ac:dyDescent="0.35">
      <c r="A6" s="7">
        <v>45352</v>
      </c>
      <c r="B6" s="22">
        <v>298806</v>
      </c>
      <c r="C6" s="22">
        <v>2508949</v>
      </c>
      <c r="D6" s="22">
        <v>7290568420.1400042</v>
      </c>
      <c r="E6" s="8">
        <f t="shared" si="0"/>
        <v>8.3965817286132136</v>
      </c>
      <c r="F6" s="18">
        <f t="shared" si="1"/>
        <v>24399.002764803932</v>
      </c>
      <c r="G6" s="18">
        <f t="shared" si="2"/>
        <v>2905.8256744716628</v>
      </c>
      <c r="H6" s="28"/>
    </row>
    <row r="7" spans="1:13" x14ac:dyDescent="0.35">
      <c r="A7" s="7">
        <v>45383</v>
      </c>
      <c r="B7" s="22">
        <v>300774</v>
      </c>
      <c r="C7" s="22">
        <v>2552976</v>
      </c>
      <c r="D7" s="22">
        <v>7613881905.5499992</v>
      </c>
      <c r="E7" s="8">
        <f t="shared" si="0"/>
        <v>8.4880209060623599</v>
      </c>
      <c r="F7" s="18">
        <f t="shared" si="1"/>
        <v>25314.295469521963</v>
      </c>
      <c r="G7" s="18">
        <f t="shared" si="2"/>
        <v>2982.3554571409986</v>
      </c>
      <c r="H7" s="28"/>
    </row>
    <row r="8" spans="1:13" x14ac:dyDescent="0.35">
      <c r="A8" s="7">
        <v>45413</v>
      </c>
      <c r="B8" s="22">
        <v>303539</v>
      </c>
      <c r="C8" s="22">
        <v>2605072</v>
      </c>
      <c r="D8" s="22">
        <v>7930695283.3100119</v>
      </c>
      <c r="E8" s="8">
        <f t="shared" ref="E8:E23" si="3">C8/B8</f>
        <v>8.5823304418872031</v>
      </c>
      <c r="F8" s="18">
        <f t="shared" ref="F8:F23" si="4">D8/B8</f>
        <v>26127.434310945257</v>
      </c>
      <c r="G8" s="18">
        <f t="shared" si="2"/>
        <v>3044.3286340300815</v>
      </c>
      <c r="H8" s="28"/>
    </row>
    <row r="9" spans="1:13" x14ac:dyDescent="0.35">
      <c r="A9" s="7">
        <v>45444</v>
      </c>
      <c r="B9" s="22">
        <v>305030</v>
      </c>
      <c r="C9" s="22">
        <v>2622147</v>
      </c>
      <c r="D9" s="22">
        <v>8124359035.2700005</v>
      </c>
      <c r="E9" s="8">
        <f t="shared" si="3"/>
        <v>8.5963577353047249</v>
      </c>
      <c r="F9" s="18">
        <f t="shared" si="4"/>
        <v>26634.622939612498</v>
      </c>
      <c r="G9" s="18">
        <f t="shared" si="2"/>
        <v>3098.3613944107633</v>
      </c>
      <c r="H9" s="28"/>
    </row>
    <row r="10" spans="1:13" x14ac:dyDescent="0.35">
      <c r="A10" s="7">
        <v>45474</v>
      </c>
      <c r="B10" s="22">
        <v>299252</v>
      </c>
      <c r="C10" s="22">
        <v>2622692</v>
      </c>
      <c r="D10" s="22">
        <v>8186318013.4799995</v>
      </c>
      <c r="E10" s="8">
        <f t="shared" si="3"/>
        <v>8.764158635531258</v>
      </c>
      <c r="F10" s="18">
        <f t="shared" si="4"/>
        <v>27355.934174140857</v>
      </c>
      <c r="G10" s="18">
        <f t="shared" ref="G10:G21" si="5">F10/E10</f>
        <v>3121.3417410355464</v>
      </c>
      <c r="H10" s="28"/>
    </row>
    <row r="11" spans="1:13" x14ac:dyDescent="0.35">
      <c r="A11" s="7">
        <v>45505</v>
      </c>
      <c r="B11" s="22">
        <v>298579</v>
      </c>
      <c r="C11" s="22">
        <v>2639043</v>
      </c>
      <c r="D11" s="22">
        <v>8284378902.6000042</v>
      </c>
      <c r="E11" s="8">
        <f t="shared" si="3"/>
        <v>8.8386758613298326</v>
      </c>
      <c r="F11" s="18">
        <f t="shared" si="4"/>
        <v>27746.019990019406</v>
      </c>
      <c r="G11" s="18">
        <f t="shared" si="5"/>
        <v>3139.1602571841399</v>
      </c>
      <c r="H11" s="28"/>
    </row>
    <row r="12" spans="1:13" x14ac:dyDescent="0.35">
      <c r="A12" s="7">
        <v>45536</v>
      </c>
      <c r="B12" s="22">
        <v>300188</v>
      </c>
      <c r="C12" s="22">
        <v>2669778</v>
      </c>
      <c r="D12" s="22">
        <v>8516125024.3600073</v>
      </c>
      <c r="E12" s="8">
        <f t="shared" si="3"/>
        <v>8.8936866230495557</v>
      </c>
      <c r="F12" s="18">
        <f t="shared" si="4"/>
        <v>28369.305316534996</v>
      </c>
      <c r="G12" s="18">
        <f t="shared" si="5"/>
        <v>3189.8251556346659</v>
      </c>
      <c r="H12" s="28"/>
    </row>
    <row r="13" spans="1:13" x14ac:dyDescent="0.35">
      <c r="A13" s="7">
        <v>45566</v>
      </c>
      <c r="B13" s="22">
        <v>303015</v>
      </c>
      <c r="C13" s="22">
        <v>2716655</v>
      </c>
      <c r="D13" s="22">
        <v>8834055115.7300014</v>
      </c>
      <c r="E13" s="8">
        <f t="shared" si="3"/>
        <v>8.965414253419798</v>
      </c>
      <c r="F13" s="18">
        <f t="shared" si="4"/>
        <v>29153.854151543659</v>
      </c>
      <c r="G13" s="18">
        <f t="shared" si="5"/>
        <v>3251.8133939458639</v>
      </c>
      <c r="H13" s="28"/>
    </row>
    <row r="14" spans="1:13" x14ac:dyDescent="0.35">
      <c r="A14" s="7">
        <v>45597</v>
      </c>
      <c r="B14" s="22">
        <v>295330</v>
      </c>
      <c r="C14" s="22">
        <v>2443767</v>
      </c>
      <c r="D14" s="22">
        <v>7769446071.8400059</v>
      </c>
      <c r="E14" s="8">
        <f t="shared" si="3"/>
        <v>8.2746994887075473</v>
      </c>
      <c r="F14" s="18">
        <f t="shared" si="4"/>
        <v>26307.676402126453</v>
      </c>
      <c r="G14" s="18">
        <f t="shared" si="5"/>
        <v>3179.2908537679759</v>
      </c>
      <c r="H14" s="28"/>
    </row>
    <row r="15" spans="1:13" ht="15" thickBot="1" x14ac:dyDescent="0.4">
      <c r="A15" s="9">
        <v>45627</v>
      </c>
      <c r="B15" s="23">
        <v>296463</v>
      </c>
      <c r="C15" s="23">
        <v>2436368</v>
      </c>
      <c r="D15" s="23">
        <v>7634422611.4099989</v>
      </c>
      <c r="E15" s="10">
        <f t="shared" si="3"/>
        <v>8.2181182812020381</v>
      </c>
      <c r="F15" s="20">
        <f t="shared" si="4"/>
        <v>25751.68777017705</v>
      </c>
      <c r="G15" s="20">
        <f t="shared" si="5"/>
        <v>3133.5260565768385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301520</v>
      </c>
      <c r="C16" s="21">
        <v>2491556</v>
      </c>
      <c r="D16" s="21">
        <v>7983710622.6500034</v>
      </c>
      <c r="E16" s="5">
        <f t="shared" si="3"/>
        <v>8.2633191828071109</v>
      </c>
      <c r="F16" s="18">
        <f t="shared" si="4"/>
        <v>26478.212465673929</v>
      </c>
      <c r="G16" s="18">
        <f t="shared" si="5"/>
        <v>3204.3071167776293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306111</v>
      </c>
      <c r="C17" s="22">
        <v>2577489</v>
      </c>
      <c r="D17" s="22">
        <v>8441369984.949995</v>
      </c>
      <c r="E17" s="8">
        <f t="shared" si="3"/>
        <v>8.4201123122004766</v>
      </c>
      <c r="F17" s="18">
        <f t="shared" si="4"/>
        <v>27576.173299718059</v>
      </c>
      <c r="G17" s="18">
        <f t="shared" si="5"/>
        <v>3275.0362794758753</v>
      </c>
      <c r="H17" s="28"/>
    </row>
    <row r="18" spans="1:13" x14ac:dyDescent="0.35">
      <c r="A18" s="7">
        <v>45717</v>
      </c>
      <c r="B18" s="22">
        <v>312783</v>
      </c>
      <c r="C18" s="22">
        <v>2658005</v>
      </c>
      <c r="D18" s="22">
        <v>8826178924.2800026</v>
      </c>
      <c r="E18" s="8">
        <f t="shared" si="3"/>
        <v>8.4979202833913607</v>
      </c>
      <c r="F18" s="18">
        <f t="shared" si="4"/>
        <v>28218.218139349014</v>
      </c>
      <c r="G18" s="18">
        <f t="shared" si="5"/>
        <v>3320.6028296711265</v>
      </c>
      <c r="H18" s="28"/>
    </row>
    <row r="19" spans="1:13" x14ac:dyDescent="0.35">
      <c r="A19" s="7">
        <v>45748</v>
      </c>
      <c r="B19" s="22">
        <v>319904</v>
      </c>
      <c r="C19" s="22">
        <v>2752287</v>
      </c>
      <c r="D19" s="22">
        <v>9226924235</v>
      </c>
      <c r="E19" s="8">
        <f t="shared" si="3"/>
        <v>8.6034779183755123</v>
      </c>
      <c r="F19" s="18">
        <f t="shared" si="4"/>
        <v>28842.791071696509</v>
      </c>
      <c r="G19" s="18">
        <f t="shared" si="5"/>
        <v>3352.4571510892579</v>
      </c>
      <c r="H19" s="28"/>
    </row>
    <row r="20" spans="1:13" x14ac:dyDescent="0.35">
      <c r="A20" s="7">
        <v>45778</v>
      </c>
      <c r="B20" s="22">
        <v>335133</v>
      </c>
      <c r="C20" s="22">
        <v>3030679</v>
      </c>
      <c r="D20" s="22">
        <v>10362321156</v>
      </c>
      <c r="E20" s="8">
        <f t="shared" si="3"/>
        <v>9.0432126946615217</v>
      </c>
      <c r="F20" s="18">
        <f t="shared" si="4"/>
        <v>30920.026246296246</v>
      </c>
      <c r="G20" s="18">
        <f t="shared" si="5"/>
        <v>3419.1417685607748</v>
      </c>
      <c r="H20" s="28"/>
    </row>
    <row r="21" spans="1:13" x14ac:dyDescent="0.35">
      <c r="A21" s="7">
        <v>45809</v>
      </c>
      <c r="B21" s="22">
        <v>342876</v>
      </c>
      <c r="C21" s="22">
        <v>3132401</v>
      </c>
      <c r="D21" s="22">
        <v>10868802003</v>
      </c>
      <c r="E21" s="8">
        <f t="shared" si="3"/>
        <v>9.1356671216416423</v>
      </c>
      <c r="F21" s="18">
        <f t="shared" si="4"/>
        <v>31698.929067651279</v>
      </c>
      <c r="G21" s="18">
        <f t="shared" si="5"/>
        <v>3469.7990464822356</v>
      </c>
      <c r="H21" s="28"/>
    </row>
    <row r="22" spans="1:13" x14ac:dyDescent="0.35">
      <c r="A22" s="7">
        <v>45839</v>
      </c>
      <c r="B22" s="22">
        <v>352235</v>
      </c>
      <c r="C22" s="22">
        <v>3201006</v>
      </c>
      <c r="D22" s="22">
        <v>11138761353</v>
      </c>
      <c r="E22" s="8">
        <f t="shared" si="3"/>
        <v>9.0876999730293697</v>
      </c>
      <c r="F22" s="18">
        <f t="shared" si="4"/>
        <v>31623.096378837992</v>
      </c>
      <c r="G22" s="18">
        <f>F22/E22</f>
        <v>3479.768970442417</v>
      </c>
      <c r="H22" s="28"/>
    </row>
    <row r="23" spans="1:13" x14ac:dyDescent="0.35">
      <c r="A23" s="7">
        <v>45870</v>
      </c>
      <c r="B23" s="22">
        <v>359181</v>
      </c>
      <c r="C23" s="22">
        <v>3299519</v>
      </c>
      <c r="D23" s="22">
        <v>11656895678</v>
      </c>
      <c r="E23" s="8">
        <f t="shared" si="3"/>
        <v>9.1862292270470878</v>
      </c>
      <c r="F23" s="18">
        <f t="shared" si="4"/>
        <v>32454.098847099373</v>
      </c>
      <c r="G23" s="18">
        <f>F23/E23</f>
        <v>3532.9075777408766</v>
      </c>
    </row>
    <row r="24" spans="1:13" x14ac:dyDescent="0.35">
      <c r="A24" s="7">
        <v>45901</v>
      </c>
      <c r="B24" s="22">
        <v>370881</v>
      </c>
      <c r="C24" s="22">
        <v>3339384</v>
      </c>
      <c r="D24" s="22">
        <v>11772859294</v>
      </c>
      <c r="E24" s="8">
        <f t="shared" ref="E24:E34" si="6">IFERROR(C24/B24,"")</f>
        <v>9.0039230912341157</v>
      </c>
      <c r="F24" s="18">
        <f t="shared" ref="F24:F34" si="7">IFERROR(D24/B24,"")</f>
        <v>31742.956080252156</v>
      </c>
      <c r="G24" s="18">
        <f t="shared" ref="G24:G29" si="8">IFERROR(F24/E24,"")</f>
        <v>3525.4583761556023</v>
      </c>
    </row>
    <row r="25" spans="1:13" x14ac:dyDescent="0.35">
      <c r="A25" s="7">
        <v>45931</v>
      </c>
      <c r="B25" s="22">
        <v>383642</v>
      </c>
      <c r="C25" s="22">
        <v>3396670</v>
      </c>
      <c r="D25" s="22">
        <v>11968821736</v>
      </c>
      <c r="E25" s="8">
        <f t="shared" si="6"/>
        <v>8.8537490681416529</v>
      </c>
      <c r="F25" s="18">
        <f t="shared" si="7"/>
        <v>31197.892139025447</v>
      </c>
      <c r="G25" s="18">
        <f t="shared" si="8"/>
        <v>3523.692833274943</v>
      </c>
    </row>
    <row r="26" spans="1:13" x14ac:dyDescent="0.35">
      <c r="A26" s="7">
        <v>45962</v>
      </c>
      <c r="B26" s="22">
        <v>390832</v>
      </c>
      <c r="C26" s="22">
        <v>3448988</v>
      </c>
      <c r="D26" s="22">
        <v>12313514203</v>
      </c>
      <c r="E26" s="8">
        <f t="shared" si="6"/>
        <v>8.8247328775535276</v>
      </c>
      <c r="F26" s="18">
        <f t="shared" si="7"/>
        <v>31505.900752753099</v>
      </c>
      <c r="G26" s="18">
        <f t="shared" si="8"/>
        <v>3570.1818049236467</v>
      </c>
    </row>
    <row r="27" spans="1:13" ht="15" thickBot="1" x14ac:dyDescent="0.4">
      <c r="A27" s="9">
        <v>45992</v>
      </c>
      <c r="B27" s="23">
        <v>396505</v>
      </c>
      <c r="C27" s="23">
        <v>3491423</v>
      </c>
      <c r="D27" s="23">
        <v>12533296856</v>
      </c>
      <c r="E27" s="10">
        <f t="shared" si="6"/>
        <v>8.8054955170804909</v>
      </c>
      <c r="F27" s="20">
        <f t="shared" si="7"/>
        <v>31609.429530522943</v>
      </c>
      <c r="G27" s="20">
        <f t="shared" si="8"/>
        <v>3589.7388703689007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403728</v>
      </c>
      <c r="C28" s="21">
        <v>3555295</v>
      </c>
      <c r="D28" s="21">
        <v>12740695366</v>
      </c>
      <c r="E28" s="5">
        <f t="shared" si="6"/>
        <v>8.8061640510442682</v>
      </c>
      <c r="F28" s="18">
        <f t="shared" si="7"/>
        <v>31557.621383703881</v>
      </c>
      <c r="G28" s="18">
        <f t="shared" si="8"/>
        <v>3583.5831811424928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409987</v>
      </c>
      <c r="C29" s="22">
        <v>3603191</v>
      </c>
      <c r="D29" s="22">
        <v>12978115442</v>
      </c>
      <c r="E29" s="8">
        <f t="shared" si="6"/>
        <v>8.7885493930295358</v>
      </c>
      <c r="F29" s="18">
        <f t="shared" si="7"/>
        <v>31654.94379577889</v>
      </c>
      <c r="G29" s="18">
        <f t="shared" si="8"/>
        <v>3601.8394367659107</v>
      </c>
      <c r="H29" s="28"/>
    </row>
    <row r="30" spans="1:13" x14ac:dyDescent="0.35">
      <c r="A30" s="7">
        <v>46082</v>
      </c>
      <c r="B30" s="22">
        <v>415679</v>
      </c>
      <c r="C30" s="22">
        <v>3714734</v>
      </c>
      <c r="D30" s="22">
        <v>13616437832</v>
      </c>
      <c r="E30" s="8">
        <f t="shared" si="6"/>
        <v>8.9365447857601659</v>
      </c>
      <c r="F30" s="18">
        <f t="shared" si="7"/>
        <v>32757.098222426441</v>
      </c>
      <c r="G30" s="18">
        <f t="shared" ref="G30" si="9">IFERROR(F30/E30,"")</f>
        <v>3665.521631427715</v>
      </c>
      <c r="H30" s="28"/>
    </row>
    <row r="31" spans="1:13" x14ac:dyDescent="0.35">
      <c r="A31" s="7">
        <v>46113</v>
      </c>
      <c r="B31" s="22">
        <v>422292</v>
      </c>
      <c r="C31" s="22">
        <v>3833210</v>
      </c>
      <c r="D31" s="22">
        <v>14185055294</v>
      </c>
      <c r="E31" s="8">
        <f t="shared" si="6"/>
        <v>9.0771551438341245</v>
      </c>
      <c r="F31" s="18">
        <f t="shared" si="7"/>
        <v>33590.632297083532</v>
      </c>
      <c r="G31" s="18">
        <f t="shared" ref="G31" si="10">IFERROR(F31/E31,"")</f>
        <v>3700.5682688921293</v>
      </c>
      <c r="H31" s="28"/>
    </row>
    <row r="32" spans="1:13" x14ac:dyDescent="0.35">
      <c r="A32" s="7">
        <v>46143</v>
      </c>
      <c r="B32" s="22">
        <v>428843</v>
      </c>
      <c r="C32" s="22">
        <v>3964469</v>
      </c>
      <c r="D32" s="22">
        <v>14828233324</v>
      </c>
      <c r="E32" s="8">
        <f t="shared" si="6"/>
        <v>9.2445696910057986</v>
      </c>
      <c r="F32" s="18">
        <f t="shared" si="7"/>
        <v>34577.300606515673</v>
      </c>
      <c r="G32" s="18">
        <f t="shared" ref="G32" si="11">IFERROR(F32/E32,"")</f>
        <v>3740.2823238118403</v>
      </c>
      <c r="H32" s="28"/>
    </row>
    <row r="33" spans="1:13" x14ac:dyDescent="0.35">
      <c r="A33" s="7">
        <v>46174</v>
      </c>
      <c r="B33" s="22">
        <v>436149</v>
      </c>
      <c r="C33" s="22">
        <v>4021859</v>
      </c>
      <c r="D33" s="22">
        <v>15034359849</v>
      </c>
      <c r="E33" s="8">
        <f t="shared" si="6"/>
        <v>9.2212959332705111</v>
      </c>
      <c r="F33" s="18">
        <f t="shared" si="7"/>
        <v>34470.696594512425</v>
      </c>
      <c r="G33" s="18">
        <f t="shared" ref="G33" si="12">IFERROR(F33/E33,"")</f>
        <v>3738.1618423221698</v>
      </c>
      <c r="H33" s="28"/>
    </row>
    <row r="34" spans="1:13" x14ac:dyDescent="0.35">
      <c r="A34" s="7">
        <v>46204</v>
      </c>
      <c r="B34" s="22">
        <v>442779</v>
      </c>
      <c r="C34" s="22">
        <v>4136009</v>
      </c>
      <c r="D34" s="22">
        <v>15698959142</v>
      </c>
      <c r="E34" s="8">
        <f t="shared" si="6"/>
        <v>9.3410233999354073</v>
      </c>
      <c r="F34" s="18">
        <f t="shared" si="7"/>
        <v>35455.518762181586</v>
      </c>
      <c r="G34" s="18">
        <f t="shared" ref="G34" si="13">IFERROR(F34/E34,"")</f>
        <v>3795.6781868704834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1233-7DD9-407C-8B94-16AE1EE6C641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I32" sqref="I32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54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45253</v>
      </c>
      <c r="C4" s="21">
        <v>345927</v>
      </c>
      <c r="D4" s="21">
        <v>943017734.92000008</v>
      </c>
      <c r="E4" s="5">
        <f t="shared" ref="E4:E7" si="0">C4/B4</f>
        <v>7.6442887764347116</v>
      </c>
      <c r="F4" s="18">
        <f t="shared" ref="F4:F7" si="1">D4/B4</f>
        <v>20838.78936026341</v>
      </c>
      <c r="G4" s="18">
        <f t="shared" ref="G4:G9" si="2">F4/E4</f>
        <v>2726.0599343792192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45389</v>
      </c>
      <c r="C5" s="22">
        <v>349329</v>
      </c>
      <c r="D5" s="22">
        <v>972212516.97000003</v>
      </c>
      <c r="E5" s="8">
        <f t="shared" si="0"/>
        <v>7.6963361166802526</v>
      </c>
      <c r="F5" s="18">
        <f t="shared" si="1"/>
        <v>21419.562382295269</v>
      </c>
      <c r="G5" s="18">
        <f t="shared" si="2"/>
        <v>2783.0856212052249</v>
      </c>
      <c r="H5" s="28"/>
    </row>
    <row r="6" spans="1:13" x14ac:dyDescent="0.35">
      <c r="A6" s="7">
        <v>45352</v>
      </c>
      <c r="B6" s="22">
        <v>46002</v>
      </c>
      <c r="C6" s="22">
        <v>357833</v>
      </c>
      <c r="D6" s="22">
        <v>1009397162.9300003</v>
      </c>
      <c r="E6" s="8">
        <f t="shared" si="0"/>
        <v>7.7786400591278637</v>
      </c>
      <c r="F6" s="18">
        <f t="shared" si="1"/>
        <v>21942.462565323254</v>
      </c>
      <c r="G6" s="18">
        <f t="shared" si="2"/>
        <v>2820.8610243605267</v>
      </c>
      <c r="H6" s="28"/>
    </row>
    <row r="7" spans="1:13" x14ac:dyDescent="0.35">
      <c r="A7" s="7">
        <v>45383</v>
      </c>
      <c r="B7" s="22">
        <v>45897</v>
      </c>
      <c r="C7" s="22">
        <v>357122</v>
      </c>
      <c r="D7" s="22">
        <v>1019937226.4700007</v>
      </c>
      <c r="E7" s="8">
        <f t="shared" si="0"/>
        <v>7.78094428829771</v>
      </c>
      <c r="F7" s="18">
        <f t="shared" si="1"/>
        <v>22222.307045558551</v>
      </c>
      <c r="G7" s="18">
        <f t="shared" si="2"/>
        <v>2855.9910239918036</v>
      </c>
      <c r="H7" s="28"/>
    </row>
    <row r="8" spans="1:13" x14ac:dyDescent="0.35">
      <c r="A8" s="7">
        <v>45413</v>
      </c>
      <c r="B8" s="22">
        <v>46058</v>
      </c>
      <c r="C8" s="22">
        <v>358389</v>
      </c>
      <c r="D8" s="22">
        <v>1025679316.0200038</v>
      </c>
      <c r="E8" s="8">
        <f t="shared" ref="E8:E23" si="3">C8/B8</f>
        <v>7.7812540709540148</v>
      </c>
      <c r="F8" s="18">
        <f t="shared" ref="F8:F23" si="4">D8/B8</f>
        <v>22269.297755438878</v>
      </c>
      <c r="G8" s="18">
        <f t="shared" si="2"/>
        <v>2861.9162865489839</v>
      </c>
      <c r="H8" s="28"/>
    </row>
    <row r="9" spans="1:13" x14ac:dyDescent="0.35">
      <c r="A9" s="7">
        <v>45444</v>
      </c>
      <c r="B9" s="22">
        <v>46039</v>
      </c>
      <c r="C9" s="22">
        <v>353391</v>
      </c>
      <c r="D9" s="22">
        <v>1026814090.23</v>
      </c>
      <c r="E9" s="8">
        <f t="shared" si="3"/>
        <v>7.6759052107995398</v>
      </c>
      <c r="F9" s="18">
        <f t="shared" si="4"/>
        <v>22303.136259041246</v>
      </c>
      <c r="G9" s="18">
        <f t="shared" si="2"/>
        <v>2905.6033974549432</v>
      </c>
      <c r="H9" s="28"/>
    </row>
    <row r="10" spans="1:13" x14ac:dyDescent="0.35">
      <c r="A10" s="7">
        <v>45474</v>
      </c>
      <c r="B10" s="22">
        <v>45873</v>
      </c>
      <c r="C10" s="22">
        <v>349388</v>
      </c>
      <c r="D10" s="22">
        <v>1022022036.55</v>
      </c>
      <c r="E10" s="8">
        <f t="shared" si="3"/>
        <v>7.6164192444357246</v>
      </c>
      <c r="F10" s="18">
        <f t="shared" si="4"/>
        <v>22279.380824232117</v>
      </c>
      <c r="G10" s="18">
        <f t="shared" ref="G10:G21" si="5">F10/E10</f>
        <v>2925.1778439728896</v>
      </c>
      <c r="H10" s="28"/>
    </row>
    <row r="11" spans="1:13" x14ac:dyDescent="0.35">
      <c r="A11" s="7">
        <v>45505</v>
      </c>
      <c r="B11" s="22">
        <v>45650</v>
      </c>
      <c r="C11" s="22">
        <v>345124</v>
      </c>
      <c r="D11" s="22">
        <v>1030166793.470001</v>
      </c>
      <c r="E11" s="8">
        <f t="shared" si="3"/>
        <v>7.5602190580503832</v>
      </c>
      <c r="F11" s="18">
        <f t="shared" si="4"/>
        <v>22566.632934720721</v>
      </c>
      <c r="G11" s="18">
        <f t="shared" si="5"/>
        <v>2984.9178656656763</v>
      </c>
      <c r="H11" s="28"/>
    </row>
    <row r="12" spans="1:13" x14ac:dyDescent="0.35">
      <c r="A12" s="7">
        <v>45536</v>
      </c>
      <c r="B12" s="22">
        <v>44825</v>
      </c>
      <c r="C12" s="22">
        <v>343006</v>
      </c>
      <c r="D12" s="22">
        <v>1043372410.6900004</v>
      </c>
      <c r="E12" s="8">
        <f t="shared" si="3"/>
        <v>7.6521137757947573</v>
      </c>
      <c r="F12" s="18">
        <f t="shared" si="4"/>
        <v>23276.573579252658</v>
      </c>
      <c r="G12" s="18">
        <f t="shared" si="5"/>
        <v>3041.8488617983371</v>
      </c>
      <c r="H12" s="28"/>
    </row>
    <row r="13" spans="1:13" x14ac:dyDescent="0.35">
      <c r="A13" s="7">
        <v>45566</v>
      </c>
      <c r="B13" s="22">
        <v>45365</v>
      </c>
      <c r="C13" s="22">
        <v>344593</v>
      </c>
      <c r="D13" s="22">
        <v>1080020098.4799998</v>
      </c>
      <c r="E13" s="8">
        <f t="shared" si="3"/>
        <v>7.5960101399757525</v>
      </c>
      <c r="F13" s="18">
        <f t="shared" si="4"/>
        <v>23807.342631544136</v>
      </c>
      <c r="G13" s="18">
        <f t="shared" si="5"/>
        <v>3134.1904753723948</v>
      </c>
      <c r="H13" s="28"/>
    </row>
    <row r="14" spans="1:13" x14ac:dyDescent="0.35">
      <c r="A14" s="7">
        <v>45597</v>
      </c>
      <c r="B14" s="22">
        <v>43011</v>
      </c>
      <c r="C14" s="22">
        <v>277638</v>
      </c>
      <c r="D14" s="22">
        <v>814282850.41999972</v>
      </c>
      <c r="E14" s="8">
        <f t="shared" si="3"/>
        <v>6.4550463834832952</v>
      </c>
      <c r="F14" s="18">
        <f t="shared" si="4"/>
        <v>18931.967413452367</v>
      </c>
      <c r="G14" s="18">
        <f t="shared" si="5"/>
        <v>2932.8940938200094</v>
      </c>
      <c r="H14" s="28"/>
    </row>
    <row r="15" spans="1:13" ht="15" thickBot="1" x14ac:dyDescent="0.4">
      <c r="A15" s="9">
        <v>45627</v>
      </c>
      <c r="B15" s="23">
        <v>42596</v>
      </c>
      <c r="C15" s="23">
        <v>272005</v>
      </c>
      <c r="D15" s="23">
        <v>794147207.58999968</v>
      </c>
      <c r="E15" s="10">
        <f t="shared" si="3"/>
        <v>6.3856934923466993</v>
      </c>
      <c r="F15" s="20">
        <f t="shared" si="4"/>
        <v>18643.70381232979</v>
      </c>
      <c r="G15" s="20">
        <f t="shared" si="5"/>
        <v>2919.6051822209142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42492</v>
      </c>
      <c r="C16" s="21">
        <v>268710</v>
      </c>
      <c r="D16" s="21">
        <v>794669913.52999949</v>
      </c>
      <c r="E16" s="5">
        <f t="shared" si="3"/>
        <v>6.3237785936176225</v>
      </c>
      <c r="F16" s="18">
        <f t="shared" si="4"/>
        <v>18701.635920408535</v>
      </c>
      <c r="G16" s="18">
        <f t="shared" si="5"/>
        <v>2957.3514700978731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42674</v>
      </c>
      <c r="C17" s="22">
        <v>271593</v>
      </c>
      <c r="D17" s="22">
        <v>831360316.16999948</v>
      </c>
      <c r="E17" s="8">
        <f t="shared" si="3"/>
        <v>6.364367061911234</v>
      </c>
      <c r="F17" s="18">
        <f t="shared" si="4"/>
        <v>19481.659000093721</v>
      </c>
      <c r="G17" s="18">
        <f t="shared" si="5"/>
        <v>3061.0520748693798</v>
      </c>
      <c r="H17" s="28"/>
    </row>
    <row r="18" spans="1:13" x14ac:dyDescent="0.35">
      <c r="A18" s="7">
        <v>45717</v>
      </c>
      <c r="B18" s="22">
        <v>43356</v>
      </c>
      <c r="C18" s="22">
        <v>273361</v>
      </c>
      <c r="D18" s="22">
        <v>837886387.80999947</v>
      </c>
      <c r="E18" s="8">
        <f t="shared" si="3"/>
        <v>6.305032752098902</v>
      </c>
      <c r="F18" s="18">
        <f t="shared" si="4"/>
        <v>19325.730874850065</v>
      </c>
      <c r="G18" s="18">
        <f t="shared" si="5"/>
        <v>3065.127753446905</v>
      </c>
      <c r="H18" s="28"/>
    </row>
    <row r="19" spans="1:13" x14ac:dyDescent="0.35">
      <c r="A19" s="7">
        <v>45748</v>
      </c>
      <c r="B19" s="22">
        <v>43860</v>
      </c>
      <c r="C19" s="22">
        <v>278364</v>
      </c>
      <c r="D19" s="22">
        <v>873961053</v>
      </c>
      <c r="E19" s="8">
        <f t="shared" si="3"/>
        <v>6.3466484268125853</v>
      </c>
      <c r="F19" s="18">
        <f t="shared" si="4"/>
        <v>19926.152599179208</v>
      </c>
      <c r="G19" s="18">
        <f t="shared" si="5"/>
        <v>3139.6339074018197</v>
      </c>
      <c r="H19" s="28"/>
    </row>
    <row r="20" spans="1:13" x14ac:dyDescent="0.35">
      <c r="A20" s="7">
        <v>45778</v>
      </c>
      <c r="B20" s="22">
        <v>43630</v>
      </c>
      <c r="C20" s="22">
        <v>279241</v>
      </c>
      <c r="D20" s="22">
        <v>893226853</v>
      </c>
      <c r="E20" s="8">
        <f t="shared" si="3"/>
        <v>6.4002062800825117</v>
      </c>
      <c r="F20" s="18">
        <f t="shared" si="4"/>
        <v>20472.767659867062</v>
      </c>
      <c r="G20" s="18">
        <f t="shared" si="5"/>
        <v>3198.7668465590655</v>
      </c>
      <c r="H20" s="28"/>
    </row>
    <row r="21" spans="1:13" x14ac:dyDescent="0.35">
      <c r="A21" s="7">
        <v>45809</v>
      </c>
      <c r="B21" s="22">
        <v>43860</v>
      </c>
      <c r="C21" s="22">
        <v>281876</v>
      </c>
      <c r="D21" s="22">
        <v>900227465</v>
      </c>
      <c r="E21" s="8">
        <f t="shared" si="3"/>
        <v>6.4267213862289099</v>
      </c>
      <c r="F21" s="18">
        <f t="shared" si="4"/>
        <v>20525.022001823985</v>
      </c>
      <c r="G21" s="18">
        <f t="shared" si="5"/>
        <v>3193.7002972938458</v>
      </c>
      <c r="H21" s="28"/>
    </row>
    <row r="22" spans="1:13" x14ac:dyDescent="0.35">
      <c r="A22" s="7">
        <v>45839</v>
      </c>
      <c r="B22" s="22">
        <v>44512</v>
      </c>
      <c r="C22" s="22">
        <v>285467</v>
      </c>
      <c r="D22" s="22">
        <v>918464239</v>
      </c>
      <c r="E22" s="8">
        <f t="shared" si="3"/>
        <v>6.4132593457943923</v>
      </c>
      <c r="F22" s="18">
        <f t="shared" si="4"/>
        <v>20634.081573508269</v>
      </c>
      <c r="G22" s="18">
        <f>F22/E22</f>
        <v>3217.4095044260812</v>
      </c>
      <c r="H22" s="28"/>
    </row>
    <row r="23" spans="1:13" x14ac:dyDescent="0.35">
      <c r="A23" s="7">
        <v>45870</v>
      </c>
      <c r="B23" s="22">
        <v>45270</v>
      </c>
      <c r="C23" s="22">
        <v>292606</v>
      </c>
      <c r="D23" s="22">
        <v>955837521</v>
      </c>
      <c r="E23" s="8">
        <f t="shared" si="3"/>
        <v>6.4635741108902138</v>
      </c>
      <c r="F23" s="18">
        <f t="shared" si="4"/>
        <v>21114.148906560637</v>
      </c>
      <c r="G23" s="18">
        <f>F23/E23</f>
        <v>3266.6367777830942</v>
      </c>
    </row>
    <row r="24" spans="1:13" x14ac:dyDescent="0.35">
      <c r="A24" s="7">
        <v>45901</v>
      </c>
      <c r="B24" s="22">
        <v>45773</v>
      </c>
      <c r="C24" s="22">
        <v>293403</v>
      </c>
      <c r="D24" s="22">
        <v>960985347</v>
      </c>
      <c r="E24" s="8">
        <f t="shared" ref="E24:E34" si="6">IFERROR(C24/B24,"")</f>
        <v>6.4099578354051516</v>
      </c>
      <c r="F24" s="18">
        <f t="shared" ref="F24:F34" si="7">IFERROR(D24/B24,"")</f>
        <v>20994.589539684966</v>
      </c>
      <c r="G24" s="18">
        <f t="shared" ref="G24:G29" si="8">IFERROR(F24/E24,"")</f>
        <v>3275.3085244527151</v>
      </c>
    </row>
    <row r="25" spans="1:13" x14ac:dyDescent="0.35">
      <c r="A25" s="7">
        <v>45931</v>
      </c>
      <c r="B25" s="22">
        <v>47077</v>
      </c>
      <c r="C25" s="22">
        <v>297390</v>
      </c>
      <c r="D25" s="22">
        <v>967231319</v>
      </c>
      <c r="E25" s="8">
        <f t="shared" si="6"/>
        <v>6.3170975210824816</v>
      </c>
      <c r="F25" s="18">
        <f t="shared" si="7"/>
        <v>20545.729740637678</v>
      </c>
      <c r="G25" s="18">
        <f t="shared" si="8"/>
        <v>3252.4002790947916</v>
      </c>
    </row>
    <row r="26" spans="1:13" x14ac:dyDescent="0.35">
      <c r="A26" s="7">
        <v>45962</v>
      </c>
      <c r="B26" s="22">
        <v>46998</v>
      </c>
      <c r="C26" s="22">
        <v>297450</v>
      </c>
      <c r="D26" s="22">
        <v>986111625</v>
      </c>
      <c r="E26" s="8">
        <f t="shared" si="6"/>
        <v>6.3289927230945997</v>
      </c>
      <c r="F26" s="18">
        <f t="shared" si="7"/>
        <v>20981.991254947017</v>
      </c>
      <c r="G26" s="18">
        <f t="shared" si="8"/>
        <v>3315.2181038830054</v>
      </c>
    </row>
    <row r="27" spans="1:13" ht="15" thickBot="1" x14ac:dyDescent="0.4">
      <c r="A27" s="9">
        <v>45992</v>
      </c>
      <c r="B27" s="23">
        <v>47195</v>
      </c>
      <c r="C27" s="23">
        <v>297967</v>
      </c>
      <c r="D27" s="23">
        <v>986752405</v>
      </c>
      <c r="E27" s="10">
        <f t="shared" si="6"/>
        <v>6.3135289755270687</v>
      </c>
      <c r="F27" s="20">
        <f t="shared" si="7"/>
        <v>20907.986121411166</v>
      </c>
      <c r="G27" s="20">
        <f t="shared" si="8"/>
        <v>3311.6164038299544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39666</v>
      </c>
      <c r="C28" s="21">
        <v>223756</v>
      </c>
      <c r="D28" s="21">
        <v>662415968</v>
      </c>
      <c r="E28" s="5">
        <f t="shared" si="6"/>
        <v>5.6410023697877278</v>
      </c>
      <c r="F28" s="18">
        <f t="shared" si="7"/>
        <v>16699.842888115767</v>
      </c>
      <c r="G28" s="18">
        <f t="shared" si="8"/>
        <v>2960.4389066661897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39833</v>
      </c>
      <c r="C29" s="22">
        <v>225244</v>
      </c>
      <c r="D29" s="22">
        <v>672009708</v>
      </c>
      <c r="E29" s="8">
        <f t="shared" si="6"/>
        <v>5.6547084076017375</v>
      </c>
      <c r="F29" s="18">
        <f t="shared" si="7"/>
        <v>16870.677779730373</v>
      </c>
      <c r="G29" s="18">
        <f t="shared" si="8"/>
        <v>2983.4744010939244</v>
      </c>
      <c r="H29" s="28"/>
    </row>
    <row r="30" spans="1:13" x14ac:dyDescent="0.35">
      <c r="A30" s="7">
        <v>46082</v>
      </c>
      <c r="B30" s="22">
        <v>39885</v>
      </c>
      <c r="C30" s="22">
        <v>230665</v>
      </c>
      <c r="D30" s="22">
        <v>691859889</v>
      </c>
      <c r="E30" s="8">
        <f t="shared" si="6"/>
        <v>5.7832518490660654</v>
      </c>
      <c r="F30" s="18">
        <f t="shared" si="7"/>
        <v>17346.36803309515</v>
      </c>
      <c r="G30" s="18">
        <f t="shared" ref="G30" si="9">IFERROR(F30/E30,"")</f>
        <v>2999.4142544382548</v>
      </c>
      <c r="H30" s="28"/>
    </row>
    <row r="31" spans="1:13" x14ac:dyDescent="0.35">
      <c r="A31" s="7">
        <v>46113</v>
      </c>
      <c r="B31" s="22">
        <v>40452</v>
      </c>
      <c r="C31" s="22">
        <v>232276</v>
      </c>
      <c r="D31" s="22">
        <v>696548175</v>
      </c>
      <c r="E31" s="8">
        <f t="shared" si="6"/>
        <v>5.7420152279244538</v>
      </c>
      <c r="F31" s="18">
        <f t="shared" si="7"/>
        <v>17219.128226045683</v>
      </c>
      <c r="G31" s="18">
        <f t="shared" ref="G31" si="10">IFERROR(F31/E31,"")</f>
        <v>2998.7952909469768</v>
      </c>
      <c r="H31" s="28"/>
    </row>
    <row r="32" spans="1:13" x14ac:dyDescent="0.35">
      <c r="A32" s="7">
        <v>46143</v>
      </c>
      <c r="B32" s="22">
        <v>40571</v>
      </c>
      <c r="C32" s="22">
        <v>234432</v>
      </c>
      <c r="D32" s="22">
        <v>710818866</v>
      </c>
      <c r="E32" s="8">
        <f t="shared" si="6"/>
        <v>5.7783145596608412</v>
      </c>
      <c r="F32" s="18">
        <f t="shared" si="7"/>
        <v>17520.368391215401</v>
      </c>
      <c r="G32" s="18">
        <f t="shared" ref="G32" si="11">IFERROR(F32/E32,"")</f>
        <v>3032.0897573710076</v>
      </c>
      <c r="H32" s="28"/>
    </row>
    <row r="33" spans="1:13" x14ac:dyDescent="0.35">
      <c r="A33" s="7">
        <v>46174</v>
      </c>
      <c r="B33" s="22">
        <v>41071</v>
      </c>
      <c r="C33" s="22">
        <v>235789</v>
      </c>
      <c r="D33" s="22">
        <v>715630206</v>
      </c>
      <c r="E33" s="8">
        <f t="shared" si="6"/>
        <v>5.7410094714031796</v>
      </c>
      <c r="F33" s="18">
        <f t="shared" si="7"/>
        <v>17424.221616225561</v>
      </c>
      <c r="G33" s="18">
        <f t="shared" ref="G33" si="12">IFERROR(F33/E33,"")</f>
        <v>3035.0449172777357</v>
      </c>
      <c r="H33" s="28"/>
    </row>
    <row r="34" spans="1:13" x14ac:dyDescent="0.35">
      <c r="A34" s="7">
        <v>46204</v>
      </c>
      <c r="B34" s="22">
        <v>41466</v>
      </c>
      <c r="C34" s="22">
        <v>238511</v>
      </c>
      <c r="D34" s="22">
        <v>736273066</v>
      </c>
      <c r="E34" s="8">
        <f t="shared" si="6"/>
        <v>5.7519654656827282</v>
      </c>
      <c r="F34" s="18">
        <f t="shared" si="7"/>
        <v>17756.066801717068</v>
      </c>
      <c r="G34" s="18">
        <f t="shared" ref="G34" si="13">IFERROR(F34/E34,"")</f>
        <v>3086.956433875167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830A-D115-482E-BDB8-434E15BF9F34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J33" sqref="J33"/>
    </sheetView>
  </sheetViews>
  <sheetFormatPr defaultColWidth="9.1796875" defaultRowHeight="14.5" x14ac:dyDescent="0.35"/>
  <cols>
    <col min="1" max="3" width="16.26953125" style="1" customWidth="1"/>
    <col min="4" max="4" width="19.17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55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2194414</v>
      </c>
      <c r="C4" s="21">
        <v>15931676</v>
      </c>
      <c r="D4" s="21">
        <v>43377718056.119446</v>
      </c>
      <c r="E4" s="5">
        <f t="shared" ref="E4:E7" si="0">C4/B4</f>
        <v>7.2601049756335856</v>
      </c>
      <c r="F4" s="18">
        <f t="shared" ref="F4:F7" si="1">D4/B4</f>
        <v>19767.335633166505</v>
      </c>
      <c r="G4" s="18">
        <f t="shared" ref="G4:G9" si="2">F4/E4</f>
        <v>2722.7341339429354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2163730</v>
      </c>
      <c r="C5" s="22">
        <v>15786083</v>
      </c>
      <c r="D5" s="22">
        <v>43867568122.199608</v>
      </c>
      <c r="E5" s="8">
        <f t="shared" si="0"/>
        <v>7.2957730400743159</v>
      </c>
      <c r="F5" s="18">
        <f t="shared" si="1"/>
        <v>20274.049036709574</v>
      </c>
      <c r="G5" s="18">
        <f t="shared" si="2"/>
        <v>2778.8760595139152</v>
      </c>
      <c r="H5" s="28"/>
    </row>
    <row r="6" spans="1:13" x14ac:dyDescent="0.35">
      <c r="A6" s="7">
        <v>45352</v>
      </c>
      <c r="B6" s="22">
        <v>2161897</v>
      </c>
      <c r="C6" s="22">
        <v>16061455</v>
      </c>
      <c r="D6" s="22">
        <v>45332940408.199043</v>
      </c>
      <c r="E6" s="8">
        <f t="shared" si="0"/>
        <v>7.4293340524548581</v>
      </c>
      <c r="F6" s="18">
        <f t="shared" si="1"/>
        <v>20969.056531462436</v>
      </c>
      <c r="G6" s="18">
        <f t="shared" si="2"/>
        <v>2822.4678528937166</v>
      </c>
      <c r="H6" s="28"/>
    </row>
    <row r="7" spans="1:13" x14ac:dyDescent="0.35">
      <c r="A7" s="7">
        <v>45383</v>
      </c>
      <c r="B7" s="22">
        <v>2173022</v>
      </c>
      <c r="C7" s="22">
        <v>16248020</v>
      </c>
      <c r="D7" s="22">
        <v>46514918760.989067</v>
      </c>
      <c r="E7" s="8">
        <f t="shared" si="0"/>
        <v>7.4771539358552284</v>
      </c>
      <c r="F7" s="18">
        <f t="shared" si="1"/>
        <v>21405.636372291247</v>
      </c>
      <c r="G7" s="18">
        <f t="shared" si="2"/>
        <v>2862.8053609602321</v>
      </c>
      <c r="H7" s="28"/>
    </row>
    <row r="8" spans="1:13" x14ac:dyDescent="0.35">
      <c r="A8" s="7">
        <v>45413</v>
      </c>
      <c r="B8" s="22">
        <v>2301333</v>
      </c>
      <c r="C8" s="22">
        <v>16797865</v>
      </c>
      <c r="D8" s="22">
        <v>49144636980.880096</v>
      </c>
      <c r="E8" s="8">
        <f t="shared" ref="E8:E23" si="3">C8/B8</f>
        <v>7.2991892090366761</v>
      </c>
      <c r="F8" s="18">
        <f t="shared" ref="F8:F23" si="4">D8/B8</f>
        <v>21354.856937644443</v>
      </c>
      <c r="G8" s="18">
        <f t="shared" si="2"/>
        <v>2925.6478118427608</v>
      </c>
      <c r="H8" s="28"/>
    </row>
    <row r="9" spans="1:13" x14ac:dyDescent="0.35">
      <c r="A9" s="7">
        <v>45444</v>
      </c>
      <c r="B9" s="22">
        <v>2363961</v>
      </c>
      <c r="C9" s="22">
        <v>17112992</v>
      </c>
      <c r="D9" s="22">
        <v>50817451921.739998</v>
      </c>
      <c r="E9" s="8">
        <f t="shared" si="3"/>
        <v>7.2391177350218552</v>
      </c>
      <c r="F9" s="18">
        <f t="shared" si="4"/>
        <v>21496.738703278097</v>
      </c>
      <c r="G9" s="18">
        <f t="shared" si="2"/>
        <v>2969.5246700132857</v>
      </c>
      <c r="H9" s="28"/>
    </row>
    <row r="10" spans="1:13" x14ac:dyDescent="0.35">
      <c r="A10" s="7">
        <v>45474</v>
      </c>
      <c r="B10" s="22">
        <v>2354249</v>
      </c>
      <c r="C10" s="22">
        <v>17035496</v>
      </c>
      <c r="D10" s="22">
        <v>51398383747.18</v>
      </c>
      <c r="E10" s="8">
        <f t="shared" si="3"/>
        <v>7.2360638148301222</v>
      </c>
      <c r="F10" s="18">
        <f t="shared" si="4"/>
        <v>21832.178222091206</v>
      </c>
      <c r="G10" s="18">
        <f t="shared" ref="G10:G21" si="5">F10/E10</f>
        <v>3017.1345611058227</v>
      </c>
      <c r="H10" s="28"/>
    </row>
    <row r="11" spans="1:13" x14ac:dyDescent="0.35">
      <c r="A11" s="7">
        <v>45505</v>
      </c>
      <c r="B11" s="22">
        <v>2338113</v>
      </c>
      <c r="C11" s="22">
        <v>17028310</v>
      </c>
      <c r="D11" s="22">
        <v>51976600274.179176</v>
      </c>
      <c r="E11" s="8">
        <f t="shared" si="3"/>
        <v>7.2829285838622857</v>
      </c>
      <c r="F11" s="18">
        <f t="shared" si="4"/>
        <v>22230.148959515293</v>
      </c>
      <c r="G11" s="18">
        <f t="shared" si="5"/>
        <v>3052.3639911523328</v>
      </c>
      <c r="H11" s="28"/>
    </row>
    <row r="12" spans="1:13" x14ac:dyDescent="0.35">
      <c r="A12" s="7">
        <v>45536</v>
      </c>
      <c r="B12" s="22">
        <v>2348537</v>
      </c>
      <c r="C12" s="22">
        <v>17257931</v>
      </c>
      <c r="D12" s="22">
        <v>52829970742.848763</v>
      </c>
      <c r="E12" s="8">
        <f t="shared" si="3"/>
        <v>7.3483751799524555</v>
      </c>
      <c r="F12" s="18">
        <f t="shared" si="4"/>
        <v>22494.842850186633</v>
      </c>
      <c r="G12" s="18">
        <f t="shared" si="5"/>
        <v>3061.1995576323006</v>
      </c>
      <c r="H12" s="28"/>
    </row>
    <row r="13" spans="1:13" x14ac:dyDescent="0.35">
      <c r="A13" s="7">
        <v>45566</v>
      </c>
      <c r="B13" s="22">
        <v>2369918</v>
      </c>
      <c r="C13" s="22">
        <v>17625413</v>
      </c>
      <c r="D13" s="22">
        <v>54104122964.818771</v>
      </c>
      <c r="E13" s="8">
        <f t="shared" si="3"/>
        <v>7.4371404411460649</v>
      </c>
      <c r="F13" s="18">
        <f t="shared" si="4"/>
        <v>22829.533749614446</v>
      </c>
      <c r="G13" s="18">
        <f t="shared" si="5"/>
        <v>3069.6655428623867</v>
      </c>
      <c r="H13" s="28"/>
    </row>
    <row r="14" spans="1:13" x14ac:dyDescent="0.35">
      <c r="A14" s="7">
        <v>45597</v>
      </c>
      <c r="B14" s="22">
        <v>2387517</v>
      </c>
      <c r="C14" s="22">
        <v>17652406</v>
      </c>
      <c r="D14" s="22">
        <v>54560373126.008682</v>
      </c>
      <c r="E14" s="8">
        <f t="shared" si="3"/>
        <v>7.3936252600505039</v>
      </c>
      <c r="F14" s="18">
        <f t="shared" si="4"/>
        <v>22852.349585786691</v>
      </c>
      <c r="G14" s="18">
        <f t="shared" si="5"/>
        <v>3090.8179386996135</v>
      </c>
      <c r="H14" s="28"/>
    </row>
    <row r="15" spans="1:13" ht="15" thickBot="1" x14ac:dyDescent="0.4">
      <c r="A15" s="9">
        <v>45627</v>
      </c>
      <c r="B15" s="23">
        <v>2399405</v>
      </c>
      <c r="C15" s="23">
        <v>17720943</v>
      </c>
      <c r="D15" s="23">
        <v>54222568162.688545</v>
      </c>
      <c r="E15" s="10">
        <f t="shared" si="3"/>
        <v>7.3855572527355742</v>
      </c>
      <c r="F15" s="20">
        <f t="shared" si="4"/>
        <v>22598.339239389992</v>
      </c>
      <c r="G15" s="20">
        <f t="shared" si="5"/>
        <v>3059.8015107146693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2437234</v>
      </c>
      <c r="C16" s="21">
        <v>17870293</v>
      </c>
      <c r="D16" s="21">
        <v>56290866866.979919</v>
      </c>
      <c r="E16" s="5">
        <f t="shared" si="3"/>
        <v>7.3322024064985145</v>
      </c>
      <c r="F16" s="18">
        <f t="shared" si="4"/>
        <v>23096.209418947841</v>
      </c>
      <c r="G16" s="18">
        <f t="shared" si="5"/>
        <v>3149.9688822662238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2481473</v>
      </c>
      <c r="C17" s="22">
        <v>18398823</v>
      </c>
      <c r="D17" s="22">
        <v>59325517797.069656</v>
      </c>
      <c r="E17" s="8">
        <f t="shared" si="3"/>
        <v>7.4144764017178506</v>
      </c>
      <c r="F17" s="18">
        <f t="shared" si="4"/>
        <v>23907.379930013205</v>
      </c>
      <c r="G17" s="18">
        <f t="shared" si="5"/>
        <v>3224.4191814372939</v>
      </c>
      <c r="H17" s="28"/>
    </row>
    <row r="18" spans="1:13" x14ac:dyDescent="0.35">
      <c r="A18" s="7">
        <v>45717</v>
      </c>
      <c r="B18" s="22">
        <v>2526462</v>
      </c>
      <c r="C18" s="22">
        <v>18758941</v>
      </c>
      <c r="D18" s="22">
        <v>61318773389.85981</v>
      </c>
      <c r="E18" s="8">
        <f t="shared" si="3"/>
        <v>7.424984424859745</v>
      </c>
      <c r="F18" s="18">
        <f t="shared" si="4"/>
        <v>24270.609805277028</v>
      </c>
      <c r="G18" s="18">
        <f t="shared" si="5"/>
        <v>3268.7758541305616</v>
      </c>
      <c r="H18" s="28"/>
    </row>
    <row r="19" spans="1:13" x14ac:dyDescent="0.35">
      <c r="A19" s="7">
        <v>45748</v>
      </c>
      <c r="B19" s="22">
        <v>2573766</v>
      </c>
      <c r="C19" s="22">
        <v>19122238</v>
      </c>
      <c r="D19" s="22">
        <v>63498245472</v>
      </c>
      <c r="E19" s="8">
        <f t="shared" si="3"/>
        <v>7.4296723167529608</v>
      </c>
      <c r="F19" s="18">
        <f t="shared" si="4"/>
        <v>24671.335883681732</v>
      </c>
      <c r="G19" s="18">
        <f t="shared" si="5"/>
        <v>3320.649260405607</v>
      </c>
      <c r="H19" s="28"/>
    </row>
    <row r="20" spans="1:13" x14ac:dyDescent="0.35">
      <c r="A20" s="7">
        <v>45778</v>
      </c>
      <c r="B20" s="22">
        <v>2635018</v>
      </c>
      <c r="C20" s="22">
        <v>19574985</v>
      </c>
      <c r="D20" s="22">
        <v>65311847701</v>
      </c>
      <c r="E20" s="8">
        <f t="shared" si="3"/>
        <v>7.4287860652185298</v>
      </c>
      <c r="F20" s="18">
        <f t="shared" si="4"/>
        <v>24786.110645543977</v>
      </c>
      <c r="G20" s="18">
        <f t="shared" si="5"/>
        <v>3336.4954149901009</v>
      </c>
      <c r="H20" s="28"/>
    </row>
    <row r="21" spans="1:13" x14ac:dyDescent="0.35">
      <c r="A21" s="7">
        <v>45809</v>
      </c>
      <c r="B21" s="22">
        <v>2661866</v>
      </c>
      <c r="C21" s="22">
        <v>20007299</v>
      </c>
      <c r="D21" s="22">
        <v>67564975009</v>
      </c>
      <c r="E21" s="8">
        <f t="shared" si="3"/>
        <v>7.5162682869836424</v>
      </c>
      <c r="F21" s="18">
        <f t="shared" si="4"/>
        <v>25382.560583064664</v>
      </c>
      <c r="G21" s="18">
        <f t="shared" si="5"/>
        <v>3377.0163083482685</v>
      </c>
      <c r="H21" s="28"/>
    </row>
    <row r="22" spans="1:13" x14ac:dyDescent="0.35">
      <c r="A22" s="7">
        <v>45839</v>
      </c>
      <c r="B22" s="22">
        <v>2709316</v>
      </c>
      <c r="C22" s="22">
        <v>20374497</v>
      </c>
      <c r="D22" s="22">
        <v>69084483571</v>
      </c>
      <c r="E22" s="8">
        <f t="shared" si="3"/>
        <v>7.5201626535996535</v>
      </c>
      <c r="F22" s="18">
        <f t="shared" si="4"/>
        <v>25498.865237941976</v>
      </c>
      <c r="G22" s="18">
        <f>F22/E22</f>
        <v>3390.7332078431191</v>
      </c>
      <c r="H22" s="28"/>
    </row>
    <row r="23" spans="1:13" x14ac:dyDescent="0.35">
      <c r="A23" s="7">
        <v>45870</v>
      </c>
      <c r="B23" s="22">
        <v>2741062</v>
      </c>
      <c r="C23" s="22">
        <v>20754045</v>
      </c>
      <c r="D23" s="22">
        <v>70915484766</v>
      </c>
      <c r="E23" s="8">
        <f t="shared" si="3"/>
        <v>7.5715343177206496</v>
      </c>
      <c r="F23" s="18">
        <f t="shared" si="4"/>
        <v>25871.536202391628</v>
      </c>
      <c r="G23" s="18">
        <f>F23/E23</f>
        <v>3416.9476247160496</v>
      </c>
    </row>
    <row r="24" spans="1:13" x14ac:dyDescent="0.35">
      <c r="A24" s="7">
        <v>45901</v>
      </c>
      <c r="B24" s="22">
        <v>2821416</v>
      </c>
      <c r="C24" s="22">
        <v>20922940</v>
      </c>
      <c r="D24" s="22">
        <v>71333332904</v>
      </c>
      <c r="E24" s="8">
        <f t="shared" ref="E24:E34" si="6">IFERROR(C24/B24,"")</f>
        <v>7.4157586119877399</v>
      </c>
      <c r="F24" s="18">
        <f t="shared" ref="F24:F34" si="7">IFERROR(D24/B24,"")</f>
        <v>25282.812922305679</v>
      </c>
      <c r="G24" s="18">
        <f t="shared" ref="G24:G29" si="8">IFERROR(F24/E24,"")</f>
        <v>3409.3360160665757</v>
      </c>
    </row>
    <row r="25" spans="1:13" x14ac:dyDescent="0.35">
      <c r="A25" s="7">
        <v>45931</v>
      </c>
      <c r="B25" s="22">
        <v>2893465</v>
      </c>
      <c r="C25" s="22">
        <v>21156920</v>
      </c>
      <c r="D25" s="22">
        <v>72193947344</v>
      </c>
      <c r="E25" s="8">
        <f t="shared" si="6"/>
        <v>7.3119667941378248</v>
      </c>
      <c r="F25" s="18">
        <f t="shared" si="7"/>
        <v>24950.689690042906</v>
      </c>
      <c r="G25" s="18">
        <f t="shared" si="8"/>
        <v>3412.3089440239878</v>
      </c>
    </row>
    <row r="26" spans="1:13" x14ac:dyDescent="0.35">
      <c r="A26" s="7">
        <v>45962</v>
      </c>
      <c r="B26" s="22">
        <v>2960293</v>
      </c>
      <c r="C26" s="22">
        <v>21514529</v>
      </c>
      <c r="D26" s="22">
        <v>73953071699</v>
      </c>
      <c r="E26" s="8">
        <f t="shared" si="6"/>
        <v>7.2677025551186993</v>
      </c>
      <c r="F26" s="18">
        <f t="shared" si="7"/>
        <v>24981.672996220306</v>
      </c>
      <c r="G26" s="18">
        <f t="shared" si="8"/>
        <v>3437.3549009137037</v>
      </c>
    </row>
    <row r="27" spans="1:13" ht="15" thickBot="1" x14ac:dyDescent="0.4">
      <c r="A27" s="9">
        <v>45992</v>
      </c>
      <c r="B27" s="23">
        <v>2978512</v>
      </c>
      <c r="C27" s="23">
        <v>21630352</v>
      </c>
      <c r="D27" s="23">
        <v>74323278136</v>
      </c>
      <c r="E27" s="10">
        <f t="shared" si="6"/>
        <v>7.2621335754228955</v>
      </c>
      <c r="F27" s="20">
        <f t="shared" si="7"/>
        <v>24953.157192584753</v>
      </c>
      <c r="G27" s="20">
        <f t="shared" si="8"/>
        <v>3436.06419978741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3009225</v>
      </c>
      <c r="C28" s="21">
        <v>21801488</v>
      </c>
      <c r="D28" s="21">
        <v>75007102688</v>
      </c>
      <c r="E28" s="5">
        <f t="shared" si="6"/>
        <v>7.2448846463790515</v>
      </c>
      <c r="F28" s="18">
        <f t="shared" si="7"/>
        <v>24925.720970681821</v>
      </c>
      <c r="G28" s="18">
        <f t="shared" si="8"/>
        <v>3440.457948925321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3036772</v>
      </c>
      <c r="C29" s="22">
        <v>21965639</v>
      </c>
      <c r="D29" s="22">
        <v>75772943553</v>
      </c>
      <c r="E29" s="8">
        <f t="shared" si="6"/>
        <v>7.2332196819517565</v>
      </c>
      <c r="F29" s="18">
        <f t="shared" si="7"/>
        <v>24951.805256700205</v>
      </c>
      <c r="G29" s="18">
        <f t="shared" si="8"/>
        <v>3449.6125313267689</v>
      </c>
      <c r="H29" s="28"/>
    </row>
    <row r="30" spans="1:13" x14ac:dyDescent="0.35">
      <c r="A30" s="7">
        <v>46082</v>
      </c>
      <c r="B30" s="22">
        <v>3049372</v>
      </c>
      <c r="C30" s="22">
        <v>22344187</v>
      </c>
      <c r="D30" s="22">
        <v>78347142806</v>
      </c>
      <c r="E30" s="8">
        <f t="shared" si="6"/>
        <v>7.3274716892527376</v>
      </c>
      <c r="F30" s="18">
        <f t="shared" si="7"/>
        <v>25692.878010947828</v>
      </c>
      <c r="G30" s="18">
        <f t="shared" ref="G30" si="9">IFERROR(F30/E30,"")</f>
        <v>3506.3769742886598</v>
      </c>
      <c r="H30" s="28"/>
    </row>
    <row r="31" spans="1:13" x14ac:dyDescent="0.35">
      <c r="A31" s="7">
        <v>46113</v>
      </c>
      <c r="B31" s="22">
        <v>3076064</v>
      </c>
      <c r="C31" s="22">
        <v>22928343</v>
      </c>
      <c r="D31" s="22">
        <v>81346915654</v>
      </c>
      <c r="E31" s="8">
        <f t="shared" si="6"/>
        <v>7.4537925738866289</v>
      </c>
      <c r="F31" s="18">
        <f t="shared" si="7"/>
        <v>26445.131068144226</v>
      </c>
      <c r="G31" s="18">
        <f t="shared" ref="G31" si="10">IFERROR(F31/E31,"")</f>
        <v>3547.8759042465476</v>
      </c>
      <c r="H31" s="28"/>
    </row>
    <row r="32" spans="1:13" x14ac:dyDescent="0.35">
      <c r="A32" s="7">
        <v>46143</v>
      </c>
      <c r="B32" s="22">
        <v>3094295</v>
      </c>
      <c r="C32" s="22">
        <v>23512641</v>
      </c>
      <c r="D32" s="22">
        <v>84090665865</v>
      </c>
      <c r="E32" s="8">
        <f t="shared" si="6"/>
        <v>7.5987069752560759</v>
      </c>
      <c r="F32" s="18">
        <f t="shared" si="7"/>
        <v>27176.033915641528</v>
      </c>
      <c r="G32" s="18">
        <f t="shared" ref="G32" si="11">IFERROR(F32/E32,"")</f>
        <v>3576.402406901037</v>
      </c>
      <c r="H32" s="28"/>
    </row>
    <row r="33" spans="1:13" x14ac:dyDescent="0.35">
      <c r="A33" s="7">
        <v>46174</v>
      </c>
      <c r="B33" s="22">
        <v>3126658</v>
      </c>
      <c r="C33" s="22">
        <v>23802294</v>
      </c>
      <c r="D33" s="22">
        <v>85090717203</v>
      </c>
      <c r="E33" s="8">
        <f t="shared" si="6"/>
        <v>7.6126950884938491</v>
      </c>
      <c r="F33" s="18">
        <f t="shared" si="7"/>
        <v>27214.590531807444</v>
      </c>
      <c r="G33" s="18">
        <f t="shared" ref="G33" si="12">IFERROR(F33/E33,"")</f>
        <v>3574.8956467389235</v>
      </c>
      <c r="H33" s="28"/>
    </row>
    <row r="34" spans="1:13" x14ac:dyDescent="0.35">
      <c r="A34" s="7">
        <v>46204</v>
      </c>
      <c r="B34" s="22">
        <v>3147102</v>
      </c>
      <c r="C34" s="22">
        <v>24143125</v>
      </c>
      <c r="D34" s="22">
        <v>87279030238</v>
      </c>
      <c r="E34" s="8">
        <f t="shared" si="6"/>
        <v>7.671541945574055</v>
      </c>
      <c r="F34" s="18">
        <f t="shared" si="7"/>
        <v>27733.143138671705</v>
      </c>
      <c r="G34" s="18">
        <f t="shared" ref="G34" si="13">IFERROR(F34/E34,"")</f>
        <v>3615.0676533381657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6213-3201-40E1-A9FE-EB5DFAEC677B}">
  <dimension ref="A1:M39"/>
  <sheetViews>
    <sheetView zoomScale="90" zoomScaleNormal="90" workbookViewId="0">
      <pane xSplit="1" ySplit="3" topLeftCell="B28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J28" sqref="J28"/>
    </sheetView>
  </sheetViews>
  <sheetFormatPr defaultColWidth="9.1796875" defaultRowHeight="14.5" x14ac:dyDescent="0.35"/>
  <cols>
    <col min="1" max="3" width="16.26953125" style="1" customWidth="1"/>
    <col min="4" max="4" width="17.54296875" style="1" customWidth="1"/>
    <col min="5" max="7" width="16.26953125" style="1" customWidth="1"/>
    <col min="8" max="16384" width="9.1796875" style="1"/>
  </cols>
  <sheetData>
    <row r="1" spans="1:13" ht="45.5" customHeight="1" x14ac:dyDescent="0.35"/>
    <row r="2" spans="1:13" ht="15" thickBot="1" x14ac:dyDescent="0.4">
      <c r="A2" s="31" t="s">
        <v>56</v>
      </c>
      <c r="B2" s="31"/>
      <c r="C2" s="31"/>
      <c r="D2" s="31"/>
      <c r="E2" s="31"/>
      <c r="F2" s="31"/>
      <c r="G2" s="31"/>
    </row>
    <row r="3" spans="1:13" ht="51" customHeight="1" thickBot="1" x14ac:dyDescent="0.4">
      <c r="A3" s="2" t="s">
        <v>0</v>
      </c>
      <c r="B3" s="3" t="s">
        <v>29</v>
      </c>
      <c r="C3" s="3" t="s">
        <v>28</v>
      </c>
      <c r="D3" s="3" t="s">
        <v>30</v>
      </c>
      <c r="E3" s="3" t="s">
        <v>7</v>
      </c>
      <c r="F3" s="3" t="s">
        <v>5</v>
      </c>
      <c r="G3" s="3" t="s">
        <v>4</v>
      </c>
    </row>
    <row r="4" spans="1:13" x14ac:dyDescent="0.35">
      <c r="A4" s="4">
        <v>45292</v>
      </c>
      <c r="B4" s="21">
        <v>42053</v>
      </c>
      <c r="C4" s="21">
        <v>297671</v>
      </c>
      <c r="D4" s="21">
        <v>733935942.81000006</v>
      </c>
      <c r="E4" s="5">
        <f t="shared" ref="E4:E7" si="0">C4/B4</f>
        <v>7.0784724038713049</v>
      </c>
      <c r="F4" s="18">
        <f t="shared" ref="F4:F7" si="1">D4/B4</f>
        <v>17452.641733288947</v>
      </c>
      <c r="G4" s="18">
        <f t="shared" ref="G4:G9" si="2">F4/E4</f>
        <v>2465.5943736877293</v>
      </c>
      <c r="H4" s="28"/>
      <c r="I4" s="11"/>
      <c r="J4" s="11"/>
      <c r="K4" s="11"/>
      <c r="L4" s="11"/>
      <c r="M4" s="11"/>
    </row>
    <row r="5" spans="1:13" x14ac:dyDescent="0.35">
      <c r="A5" s="7">
        <v>45323</v>
      </c>
      <c r="B5" s="22">
        <v>42150</v>
      </c>
      <c r="C5" s="22">
        <v>299668</v>
      </c>
      <c r="D5" s="22">
        <v>746653527.40999997</v>
      </c>
      <c r="E5" s="8">
        <f t="shared" si="0"/>
        <v>7.109561091340451</v>
      </c>
      <c r="F5" s="18">
        <f t="shared" si="1"/>
        <v>17714.199938552785</v>
      </c>
      <c r="G5" s="18">
        <f t="shared" si="2"/>
        <v>2491.6024647610016</v>
      </c>
      <c r="H5" s="28"/>
    </row>
    <row r="6" spans="1:13" x14ac:dyDescent="0.35">
      <c r="A6" s="7">
        <v>45352</v>
      </c>
      <c r="B6" s="22">
        <v>42425</v>
      </c>
      <c r="C6" s="22">
        <v>304464</v>
      </c>
      <c r="D6" s="22">
        <v>776728170.49000001</v>
      </c>
      <c r="E6" s="8">
        <f t="shared" si="0"/>
        <v>7.176523276370065</v>
      </c>
      <c r="F6" s="18">
        <f t="shared" si="1"/>
        <v>18308.265656806128</v>
      </c>
      <c r="G6" s="18">
        <f t="shared" si="2"/>
        <v>2551.133041968837</v>
      </c>
      <c r="H6" s="28"/>
    </row>
    <row r="7" spans="1:13" x14ac:dyDescent="0.35">
      <c r="A7" s="7">
        <v>45383</v>
      </c>
      <c r="B7" s="22">
        <v>42987</v>
      </c>
      <c r="C7" s="22">
        <v>309741</v>
      </c>
      <c r="D7" s="22">
        <v>809395862.67000008</v>
      </c>
      <c r="E7" s="8">
        <f t="shared" si="0"/>
        <v>7.2054574638844304</v>
      </c>
      <c r="F7" s="18">
        <f t="shared" si="1"/>
        <v>18828.852040616934</v>
      </c>
      <c r="G7" s="18">
        <f t="shared" si="2"/>
        <v>2613.1376300522052</v>
      </c>
      <c r="H7" s="28"/>
    </row>
    <row r="8" spans="1:13" x14ac:dyDescent="0.35">
      <c r="A8" s="7">
        <v>45413</v>
      </c>
      <c r="B8" s="22">
        <v>43190</v>
      </c>
      <c r="C8" s="22">
        <v>315991</v>
      </c>
      <c r="D8" s="22">
        <v>841054146.38000011</v>
      </c>
      <c r="E8" s="8">
        <f t="shared" ref="E8:E23" si="3">C8/B8</f>
        <v>7.3163000694605236</v>
      </c>
      <c r="F8" s="18">
        <f t="shared" ref="F8:F23" si="4">D8/B8</f>
        <v>19473.353701782824</v>
      </c>
      <c r="G8" s="18">
        <f t="shared" si="2"/>
        <v>2661.6395605571047</v>
      </c>
      <c r="H8" s="28"/>
    </row>
    <row r="9" spans="1:13" x14ac:dyDescent="0.35">
      <c r="A9" s="7">
        <v>45444</v>
      </c>
      <c r="B9" s="22">
        <v>43337</v>
      </c>
      <c r="C9" s="22">
        <v>318116</v>
      </c>
      <c r="D9" s="22">
        <v>847147172.08000004</v>
      </c>
      <c r="E9" s="8">
        <f t="shared" si="3"/>
        <v>7.3405173408403908</v>
      </c>
      <c r="F9" s="18">
        <f t="shared" si="4"/>
        <v>19547.896072178508</v>
      </c>
      <c r="G9" s="18">
        <f t="shared" si="2"/>
        <v>2663.0134041670331</v>
      </c>
      <c r="H9" s="28"/>
    </row>
    <row r="10" spans="1:13" x14ac:dyDescent="0.35">
      <c r="A10" s="7">
        <v>45474</v>
      </c>
      <c r="B10" s="22">
        <v>43182</v>
      </c>
      <c r="C10" s="22">
        <v>319412</v>
      </c>
      <c r="D10" s="22">
        <v>856712030.45000005</v>
      </c>
      <c r="E10" s="8">
        <f t="shared" si="3"/>
        <v>7.3968783289333517</v>
      </c>
      <c r="F10" s="18">
        <f t="shared" si="4"/>
        <v>19839.563485943218</v>
      </c>
      <c r="G10" s="18">
        <f t="shared" ref="G10:G21" si="5">F10/E10</f>
        <v>2682.1535523086172</v>
      </c>
      <c r="H10" s="28"/>
    </row>
    <row r="11" spans="1:13" x14ac:dyDescent="0.35">
      <c r="A11" s="7">
        <v>45505</v>
      </c>
      <c r="B11" s="22">
        <v>43180</v>
      </c>
      <c r="C11" s="22">
        <v>323526</v>
      </c>
      <c r="D11" s="22">
        <v>882607689.50999999</v>
      </c>
      <c r="E11" s="8">
        <f t="shared" si="3"/>
        <v>7.4924965261695231</v>
      </c>
      <c r="F11" s="18">
        <f t="shared" si="4"/>
        <v>20440.196607457157</v>
      </c>
      <c r="G11" s="18">
        <f t="shared" si="5"/>
        <v>2728.0889001502201</v>
      </c>
      <c r="H11" s="28"/>
    </row>
    <row r="12" spans="1:13" x14ac:dyDescent="0.35">
      <c r="A12" s="7">
        <v>45536</v>
      </c>
      <c r="B12" s="22">
        <v>43361</v>
      </c>
      <c r="C12" s="22">
        <v>324480</v>
      </c>
      <c r="D12" s="22">
        <v>895110245.11000025</v>
      </c>
      <c r="E12" s="8">
        <f t="shared" si="3"/>
        <v>7.4832222504093542</v>
      </c>
      <c r="F12" s="18">
        <f t="shared" si="4"/>
        <v>20643.210375913844</v>
      </c>
      <c r="G12" s="18">
        <f t="shared" si="5"/>
        <v>2758.5991281743104</v>
      </c>
      <c r="H12" s="28"/>
    </row>
    <row r="13" spans="1:13" x14ac:dyDescent="0.35">
      <c r="A13" s="7">
        <v>45566</v>
      </c>
      <c r="B13" s="22">
        <v>44328</v>
      </c>
      <c r="C13" s="22">
        <v>334756</v>
      </c>
      <c r="D13" s="22">
        <v>944925451.26000035</v>
      </c>
      <c r="E13" s="8">
        <f t="shared" si="3"/>
        <v>7.5517957047464357</v>
      </c>
      <c r="F13" s="18">
        <f t="shared" si="4"/>
        <v>21316.672334867359</v>
      </c>
      <c r="G13" s="18">
        <f t="shared" si="5"/>
        <v>2822.7289466357593</v>
      </c>
      <c r="H13" s="28"/>
    </row>
    <row r="14" spans="1:13" x14ac:dyDescent="0.35">
      <c r="A14" s="7">
        <v>45597</v>
      </c>
      <c r="B14" s="22">
        <v>44600</v>
      </c>
      <c r="C14" s="22">
        <v>338538</v>
      </c>
      <c r="D14" s="22">
        <v>960074773.23000026</v>
      </c>
      <c r="E14" s="8">
        <f t="shared" si="3"/>
        <v>7.5905381165919286</v>
      </c>
      <c r="F14" s="18">
        <f t="shared" si="4"/>
        <v>21526.340206950677</v>
      </c>
      <c r="G14" s="18">
        <f t="shared" si="5"/>
        <v>2835.9438917639973</v>
      </c>
      <c r="H14" s="28"/>
    </row>
    <row r="15" spans="1:13" ht="15" thickBot="1" x14ac:dyDescent="0.4">
      <c r="A15" s="9">
        <v>45627</v>
      </c>
      <c r="B15" s="23">
        <v>44685</v>
      </c>
      <c r="C15" s="23">
        <v>339567</v>
      </c>
      <c r="D15" s="23">
        <v>953247872.75999987</v>
      </c>
      <c r="E15" s="10">
        <f t="shared" si="3"/>
        <v>7.5991272239006378</v>
      </c>
      <c r="F15" s="20">
        <f t="shared" si="4"/>
        <v>21332.614361866395</v>
      </c>
      <c r="G15" s="20">
        <f t="shared" si="5"/>
        <v>2807.2453234854975</v>
      </c>
      <c r="H15" s="28"/>
      <c r="I15" s="11"/>
      <c r="J15" s="11"/>
      <c r="K15" s="11"/>
      <c r="L15" s="11"/>
      <c r="M15" s="11"/>
    </row>
    <row r="16" spans="1:13" x14ac:dyDescent="0.35">
      <c r="A16" s="4">
        <v>45658</v>
      </c>
      <c r="B16" s="21">
        <v>45787</v>
      </c>
      <c r="C16" s="21">
        <v>347413</v>
      </c>
      <c r="D16" s="21">
        <v>996233273.81999969</v>
      </c>
      <c r="E16" s="5">
        <f t="shared" si="3"/>
        <v>7.5875903640771396</v>
      </c>
      <c r="F16" s="18">
        <f t="shared" si="4"/>
        <v>21757.994055517935</v>
      </c>
      <c r="G16" s="18">
        <f t="shared" si="5"/>
        <v>2867.5762674971857</v>
      </c>
      <c r="H16" s="28"/>
      <c r="I16" s="11"/>
      <c r="J16" s="11"/>
      <c r="K16" s="11"/>
      <c r="L16" s="11"/>
      <c r="M16" s="11"/>
    </row>
    <row r="17" spans="1:13" x14ac:dyDescent="0.35">
      <c r="A17" s="7">
        <v>45689</v>
      </c>
      <c r="B17" s="22">
        <v>46772</v>
      </c>
      <c r="C17" s="22">
        <v>361091</v>
      </c>
      <c r="D17" s="22">
        <v>1072822311.0600005</v>
      </c>
      <c r="E17" s="8">
        <f t="shared" si="3"/>
        <v>7.7202386042931668</v>
      </c>
      <c r="F17" s="18">
        <f t="shared" si="4"/>
        <v>22937.276812195341</v>
      </c>
      <c r="G17" s="18">
        <f t="shared" si="5"/>
        <v>2971.0580187819705</v>
      </c>
      <c r="H17" s="28"/>
    </row>
    <row r="18" spans="1:13" x14ac:dyDescent="0.35">
      <c r="A18" s="7">
        <v>45717</v>
      </c>
      <c r="B18" s="22">
        <v>47915</v>
      </c>
      <c r="C18" s="22">
        <v>374072</v>
      </c>
      <c r="D18" s="22">
        <v>1124774995.6899998</v>
      </c>
      <c r="E18" s="8">
        <f t="shared" si="3"/>
        <v>7.8069915475320881</v>
      </c>
      <c r="F18" s="18">
        <f t="shared" si="4"/>
        <v>23474.381627674004</v>
      </c>
      <c r="G18" s="18">
        <f t="shared" si="5"/>
        <v>3006.8409174971662</v>
      </c>
      <c r="H18" s="28"/>
    </row>
    <row r="19" spans="1:13" x14ac:dyDescent="0.35">
      <c r="A19" s="7">
        <v>45748</v>
      </c>
      <c r="B19" s="22">
        <v>49337</v>
      </c>
      <c r="C19" s="22">
        <v>386151</v>
      </c>
      <c r="D19" s="22">
        <v>1172796313</v>
      </c>
      <c r="E19" s="8">
        <f t="shared" si="3"/>
        <v>7.8268034132598254</v>
      </c>
      <c r="F19" s="18">
        <f t="shared" si="4"/>
        <v>23771.131463202059</v>
      </c>
      <c r="G19" s="18">
        <f t="shared" si="5"/>
        <v>3037.1443114222157</v>
      </c>
      <c r="H19" s="28"/>
    </row>
    <row r="20" spans="1:13" x14ac:dyDescent="0.35">
      <c r="A20" s="7">
        <v>45778</v>
      </c>
      <c r="B20" s="22">
        <v>50652</v>
      </c>
      <c r="C20" s="22">
        <v>395524</v>
      </c>
      <c r="D20" s="22">
        <v>1211386012</v>
      </c>
      <c r="E20" s="8">
        <f t="shared" si="3"/>
        <v>7.8086551370133463</v>
      </c>
      <c r="F20" s="18">
        <f t="shared" si="4"/>
        <v>23915.857458738057</v>
      </c>
      <c r="G20" s="18">
        <f t="shared" si="5"/>
        <v>3062.7370576753874</v>
      </c>
      <c r="H20" s="28"/>
    </row>
    <row r="21" spans="1:13" x14ac:dyDescent="0.35">
      <c r="A21" s="7">
        <v>45809</v>
      </c>
      <c r="B21" s="22">
        <v>51612</v>
      </c>
      <c r="C21" s="22">
        <v>406946</v>
      </c>
      <c r="D21" s="22">
        <v>1256273765</v>
      </c>
      <c r="E21" s="8">
        <f t="shared" si="3"/>
        <v>7.8847167325428194</v>
      </c>
      <c r="F21" s="18">
        <f t="shared" si="4"/>
        <v>24340.730159652794</v>
      </c>
      <c r="G21" s="18">
        <f t="shared" si="5"/>
        <v>3087.077314926305</v>
      </c>
      <c r="H21" s="28"/>
    </row>
    <row r="22" spans="1:13" x14ac:dyDescent="0.35">
      <c r="A22" s="7">
        <v>45839</v>
      </c>
      <c r="B22" s="22">
        <v>53546</v>
      </c>
      <c r="C22" s="22">
        <v>415677</v>
      </c>
      <c r="D22" s="22">
        <v>1303980593</v>
      </c>
      <c r="E22" s="8">
        <f t="shared" si="3"/>
        <v>7.7629888320322715</v>
      </c>
      <c r="F22" s="18">
        <f t="shared" si="4"/>
        <v>24352.530403764988</v>
      </c>
      <c r="G22" s="18">
        <f>F22/E22</f>
        <v>3137.0044361367118</v>
      </c>
      <c r="H22" s="28"/>
    </row>
    <row r="23" spans="1:13" x14ac:dyDescent="0.35">
      <c r="A23" s="7">
        <v>45870</v>
      </c>
      <c r="B23" s="22">
        <v>55672</v>
      </c>
      <c r="C23" s="22">
        <v>432489</v>
      </c>
      <c r="D23" s="22">
        <v>1371418773</v>
      </c>
      <c r="E23" s="8">
        <f t="shared" si="3"/>
        <v>7.7685191837907741</v>
      </c>
      <c r="F23" s="18">
        <f t="shared" si="4"/>
        <v>24633.905248598938</v>
      </c>
      <c r="G23" s="18">
        <f>F23/E23</f>
        <v>3170.9911072882783</v>
      </c>
    </row>
    <row r="24" spans="1:13" x14ac:dyDescent="0.35">
      <c r="A24" s="7">
        <v>45901</v>
      </c>
      <c r="B24" s="22">
        <v>62022</v>
      </c>
      <c r="C24" s="22">
        <v>446761</v>
      </c>
      <c r="D24" s="22">
        <v>1383767954</v>
      </c>
      <c r="E24" s="8">
        <f t="shared" ref="E24:E34" si="6">IFERROR(C24/B24,"")</f>
        <v>7.2032665828254494</v>
      </c>
      <c r="F24" s="18">
        <f t="shared" ref="F24:F34" si="7">IFERROR(D24/B24,"")</f>
        <v>22310.921189255427</v>
      </c>
      <c r="G24" s="18">
        <f t="shared" ref="G24:G29" si="8">IFERROR(F24/E24,"")</f>
        <v>3097.3338183055371</v>
      </c>
    </row>
    <row r="25" spans="1:13" x14ac:dyDescent="0.35">
      <c r="A25" s="7">
        <v>45931</v>
      </c>
      <c r="B25" s="22">
        <v>64749</v>
      </c>
      <c r="C25" s="22">
        <v>454432</v>
      </c>
      <c r="D25" s="22">
        <v>1402234261</v>
      </c>
      <c r="E25" s="8">
        <f t="shared" si="6"/>
        <v>7.0183632179647564</v>
      </c>
      <c r="F25" s="18">
        <f t="shared" si="7"/>
        <v>21656.46204574588</v>
      </c>
      <c r="G25" s="18">
        <f t="shared" si="8"/>
        <v>3085.6855613161047</v>
      </c>
    </row>
    <row r="26" spans="1:13" x14ac:dyDescent="0.35">
      <c r="A26" s="7">
        <v>45962</v>
      </c>
      <c r="B26" s="22">
        <v>66253</v>
      </c>
      <c r="C26" s="22">
        <v>467132</v>
      </c>
      <c r="D26" s="22">
        <v>1459497724</v>
      </c>
      <c r="E26" s="8">
        <f t="shared" si="6"/>
        <v>7.0507297782741913</v>
      </c>
      <c r="F26" s="18">
        <f t="shared" si="7"/>
        <v>22029.156777806289</v>
      </c>
      <c r="G26" s="18">
        <f t="shared" si="8"/>
        <v>3124.3796699862137</v>
      </c>
    </row>
    <row r="27" spans="1:13" ht="15" thickBot="1" x14ac:dyDescent="0.4">
      <c r="A27" s="9">
        <v>45992</v>
      </c>
      <c r="B27" s="23">
        <v>66819</v>
      </c>
      <c r="C27" s="23">
        <v>471089</v>
      </c>
      <c r="D27" s="23">
        <v>1474362913</v>
      </c>
      <c r="E27" s="10">
        <f t="shared" si="6"/>
        <v>7.0502252353372548</v>
      </c>
      <c r="F27" s="20">
        <f t="shared" si="7"/>
        <v>22065.02511261767</v>
      </c>
      <c r="G27" s="20">
        <f t="shared" si="8"/>
        <v>3129.6908078940496</v>
      </c>
      <c r="H27" s="28"/>
      <c r="I27" s="11"/>
      <c r="J27" s="11"/>
      <c r="K27" s="11"/>
      <c r="L27" s="11"/>
      <c r="M27" s="11"/>
    </row>
    <row r="28" spans="1:13" x14ac:dyDescent="0.35">
      <c r="A28" s="4">
        <v>46023</v>
      </c>
      <c r="B28" s="21">
        <v>67812</v>
      </c>
      <c r="C28" s="21">
        <v>473983</v>
      </c>
      <c r="D28" s="21">
        <v>1486519895</v>
      </c>
      <c r="E28" s="5">
        <f t="shared" si="6"/>
        <v>6.9896625965905743</v>
      </c>
      <c r="F28" s="18">
        <f t="shared" si="7"/>
        <v>21921.192340588685</v>
      </c>
      <c r="G28" s="18">
        <f t="shared" si="8"/>
        <v>3136.2304027781583</v>
      </c>
      <c r="H28" s="28"/>
      <c r="I28" s="11"/>
      <c r="J28" s="11"/>
      <c r="K28" s="11"/>
      <c r="L28" s="11"/>
      <c r="M28" s="11"/>
    </row>
    <row r="29" spans="1:13" x14ac:dyDescent="0.35">
      <c r="A29" s="7">
        <v>46054</v>
      </c>
      <c r="B29" s="22">
        <v>68371</v>
      </c>
      <c r="C29" s="22">
        <v>477307</v>
      </c>
      <c r="D29" s="22">
        <v>1499624086</v>
      </c>
      <c r="E29" s="8">
        <f t="shared" si="6"/>
        <v>6.9811323514355506</v>
      </c>
      <c r="F29" s="18">
        <f t="shared" si="7"/>
        <v>21933.628087932018</v>
      </c>
      <c r="G29" s="18">
        <f t="shared" si="8"/>
        <v>3141.8438992095234</v>
      </c>
      <c r="H29" s="28"/>
    </row>
    <row r="30" spans="1:13" x14ac:dyDescent="0.35">
      <c r="A30" s="7">
        <v>46082</v>
      </c>
      <c r="B30" s="22">
        <v>69915</v>
      </c>
      <c r="C30" s="22">
        <v>495881</v>
      </c>
      <c r="D30" s="22">
        <v>1580883504</v>
      </c>
      <c r="E30" s="8">
        <f t="shared" si="6"/>
        <v>7.0926267610670095</v>
      </c>
      <c r="F30" s="18">
        <f t="shared" si="7"/>
        <v>22611.506886934134</v>
      </c>
      <c r="G30" s="18">
        <f t="shared" ref="G30" si="9">IFERROR(F30/E30,"")</f>
        <v>3188.0299991328566</v>
      </c>
      <c r="H30" s="28"/>
    </row>
    <row r="31" spans="1:13" x14ac:dyDescent="0.35">
      <c r="A31" s="7">
        <v>46113</v>
      </c>
      <c r="B31" s="22">
        <v>70954</v>
      </c>
      <c r="C31" s="22">
        <v>518151</v>
      </c>
      <c r="D31" s="22">
        <v>1668929683</v>
      </c>
      <c r="E31" s="8">
        <f t="shared" si="6"/>
        <v>7.3026326916030104</v>
      </c>
      <c r="F31" s="18">
        <f t="shared" si="7"/>
        <v>23521.291019533783</v>
      </c>
      <c r="G31" s="18">
        <f t="shared" ref="G31" si="10">IFERROR(F31/E31,"")</f>
        <v>3220.9330542641046</v>
      </c>
      <c r="H31" s="28"/>
    </row>
    <row r="32" spans="1:13" x14ac:dyDescent="0.35">
      <c r="A32" s="7">
        <v>46143</v>
      </c>
      <c r="B32" s="22">
        <v>72952</v>
      </c>
      <c r="C32" s="22">
        <v>548374</v>
      </c>
      <c r="D32" s="22">
        <v>1772243170</v>
      </c>
      <c r="E32" s="8">
        <f t="shared" si="6"/>
        <v>7.5169152319333259</v>
      </c>
      <c r="F32" s="18">
        <f t="shared" si="7"/>
        <v>24293.277360456192</v>
      </c>
      <c r="G32" s="18">
        <f t="shared" ref="G32" si="11">IFERROR(F32/E32,"")</f>
        <v>3231.8147286341077</v>
      </c>
      <c r="H32" s="28"/>
    </row>
    <row r="33" spans="1:13" x14ac:dyDescent="0.35">
      <c r="A33" s="7">
        <v>46174</v>
      </c>
      <c r="B33" s="22">
        <v>74338</v>
      </c>
      <c r="C33" s="22">
        <v>568949</v>
      </c>
      <c r="D33" s="22">
        <v>1837746779</v>
      </c>
      <c r="E33" s="8">
        <f t="shared" si="6"/>
        <v>7.6535419301030432</v>
      </c>
      <c r="F33" s="18">
        <f t="shared" si="7"/>
        <v>24721.498816217816</v>
      </c>
      <c r="G33" s="18">
        <f t="shared" ref="G33" si="12">IFERROR(F33/E33,"")</f>
        <v>3230.0729573300946</v>
      </c>
      <c r="H33" s="28"/>
    </row>
    <row r="34" spans="1:13" x14ac:dyDescent="0.35">
      <c r="A34" s="7">
        <v>46204</v>
      </c>
      <c r="B34" s="22">
        <v>75223</v>
      </c>
      <c r="C34" s="22">
        <v>590409</v>
      </c>
      <c r="D34" s="22">
        <v>1902074801</v>
      </c>
      <c r="E34" s="8">
        <f t="shared" si="6"/>
        <v>7.8487829520226526</v>
      </c>
      <c r="F34" s="18">
        <f t="shared" si="7"/>
        <v>25285.814192467729</v>
      </c>
      <c r="G34" s="18">
        <f t="shared" ref="G34" si="13">IFERROR(F34/E34,"")</f>
        <v>3221.62230081181</v>
      </c>
      <c r="H34" s="28"/>
    </row>
    <row r="35" spans="1:13" x14ac:dyDescent="0.35">
      <c r="A35" s="7">
        <v>46235</v>
      </c>
      <c r="B35" s="22"/>
      <c r="C35" s="22"/>
      <c r="D35" s="22"/>
      <c r="E35" s="8"/>
      <c r="F35" s="18"/>
      <c r="G35" s="18"/>
    </row>
    <row r="36" spans="1:13" x14ac:dyDescent="0.35">
      <c r="A36" s="7">
        <v>46266</v>
      </c>
      <c r="B36" s="22"/>
      <c r="C36" s="22"/>
      <c r="D36" s="22"/>
      <c r="E36" s="8"/>
      <c r="F36" s="18"/>
      <c r="G36" s="18"/>
    </row>
    <row r="37" spans="1:13" x14ac:dyDescent="0.35">
      <c r="A37" s="7">
        <v>46296</v>
      </c>
      <c r="B37" s="22"/>
      <c r="C37" s="22"/>
      <c r="D37" s="22"/>
      <c r="E37" s="8"/>
      <c r="F37" s="18"/>
      <c r="G37" s="18"/>
    </row>
    <row r="38" spans="1:13" x14ac:dyDescent="0.35">
      <c r="A38" s="7">
        <v>46327</v>
      </c>
      <c r="B38" s="22"/>
      <c r="C38" s="22"/>
      <c r="D38" s="22"/>
      <c r="E38" s="8"/>
      <c r="F38" s="18"/>
      <c r="G38" s="18"/>
    </row>
    <row r="39" spans="1:13" ht="15" thickBot="1" x14ac:dyDescent="0.4">
      <c r="A39" s="9">
        <v>46357</v>
      </c>
      <c r="B39" s="23"/>
      <c r="C39" s="23"/>
      <c r="D39" s="23"/>
      <c r="E39" s="10"/>
      <c r="F39" s="20"/>
      <c r="G39" s="20"/>
      <c r="H39" s="28"/>
      <c r="I39" s="11"/>
      <c r="J39" s="11"/>
      <c r="K39" s="11"/>
      <c r="L39" s="11"/>
      <c r="M39" s="11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Empresas Inadimplentes</vt:lpstr>
      <vt:lpstr>Setores Negativados</vt:lpstr>
      <vt:lpstr>Setores</vt:lpstr>
      <vt:lpstr>MPM</vt:lpstr>
      <vt:lpstr>Micro e Pequenas</vt:lpstr>
      <vt:lpstr>Médias</vt:lpstr>
      <vt:lpstr>Grandes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</vt:vector>
  </TitlesOfParts>
  <Company>Serasa 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sqb9610</dc:creator>
  <cp:lastModifiedBy>Moraes, Juliana</cp:lastModifiedBy>
  <dcterms:created xsi:type="dcterms:W3CDTF">2009-03-27T14:10:37Z</dcterms:created>
  <dcterms:modified xsi:type="dcterms:W3CDTF">2026-09-01T18:59:35Z</dcterms:modified>
</cp:coreProperties>
</file>