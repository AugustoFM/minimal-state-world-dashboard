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dicadores\Séries Históricas\Site\"/>
    </mc:Choice>
  </mc:AlternateContent>
  <xr:revisionPtr revIDLastSave="0" documentId="13_ncr:1_{D77C8677-B250-42E9-B050-43ADED9B90E1}" xr6:coauthVersionLast="47" xr6:coauthVersionMax="47" xr10:uidLastSave="{00000000-0000-0000-0000-000000000000}"/>
  <bookViews>
    <workbookView xWindow="-110" yWindow="-110" windowWidth="19420" windowHeight="10300" tabRatio="713" xr2:uid="{00000000-000D-0000-FFFF-FFFF00000000}"/>
  </bookViews>
  <sheets>
    <sheet name="Var. Mensal" sheetId="3" r:id="rId1"/>
    <sheet name="Var. Anual" sheetId="4" r:id="rId2"/>
    <sheet name="Var. Acumulada Anual" sheetId="5" r:id="rId3"/>
    <sheet name="Var. Acumulada em 12 Meses" sheetId="6" r:id="rId4"/>
    <sheet name="Empresa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6" l="1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J32" i="6"/>
  <c r="AJ33" i="6"/>
  <c r="AJ34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2" i="6"/>
  <c r="AH32" i="6"/>
  <c r="AI32" i="6"/>
  <c r="AG33" i="6"/>
  <c r="AH33" i="6"/>
  <c r="AI33" i="6"/>
  <c r="AG34" i="6"/>
  <c r="AH34" i="6"/>
  <c r="AI34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E31" i="6"/>
  <c r="AF31" i="6"/>
  <c r="AD31" i="6"/>
  <c r="AC31" i="6"/>
  <c r="AG31" i="6"/>
  <c r="AH31" i="6"/>
  <c r="AI31" i="6"/>
  <c r="AJ31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E30" i="6"/>
  <c r="AF30" i="6"/>
  <c r="AD30" i="6"/>
  <c r="AC30" i="6"/>
  <c r="AG30" i="6"/>
  <c r="AH30" i="6"/>
  <c r="AI30" i="6"/>
  <c r="AJ30" i="6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E30" i="5"/>
  <c r="AF30" i="5"/>
  <c r="AD30" i="5"/>
  <c r="AC30" i="5"/>
  <c r="AG30" i="5"/>
  <c r="AH30" i="5"/>
  <c r="AI30" i="5"/>
  <c r="AJ30" i="5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E30" i="4"/>
  <c r="AF30" i="4"/>
  <c r="AD30" i="4"/>
  <c r="AC30" i="4"/>
  <c r="AG30" i="4"/>
  <c r="AH30" i="4"/>
  <c r="AI30" i="4"/>
  <c r="AJ30" i="4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E30" i="3"/>
  <c r="AF30" i="3"/>
  <c r="AD30" i="3"/>
  <c r="AC30" i="3"/>
  <c r="AG30" i="3"/>
  <c r="AH30" i="3"/>
  <c r="AI30" i="3"/>
  <c r="AJ30" i="3"/>
  <c r="B29" i="3" l="1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E29" i="3"/>
  <c r="AF29" i="3"/>
  <c r="AD29" i="3"/>
  <c r="AC29" i="3"/>
  <c r="AG29" i="3"/>
  <c r="AH29" i="3"/>
  <c r="AI29" i="3"/>
  <c r="AJ29" i="3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E29" i="4"/>
  <c r="AF29" i="4"/>
  <c r="AD29" i="4"/>
  <c r="AC29" i="4"/>
  <c r="AG29" i="4"/>
  <c r="AH29" i="4"/>
  <c r="AI29" i="4"/>
  <c r="AJ29" i="4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E29" i="5"/>
  <c r="AF29" i="5"/>
  <c r="AD29" i="5"/>
  <c r="AC29" i="5"/>
  <c r="AG29" i="5"/>
  <c r="AH29" i="5"/>
  <c r="AI29" i="5"/>
  <c r="AJ29" i="5"/>
  <c r="B29" i="5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E29" i="6"/>
  <c r="AF29" i="6"/>
  <c r="AD29" i="6"/>
  <c r="AC29" i="6"/>
  <c r="AG29" i="6"/>
  <c r="AH29" i="6"/>
  <c r="AI29" i="6"/>
  <c r="AJ29" i="6"/>
  <c r="B28" i="6" l="1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E28" i="6"/>
  <c r="AF28" i="6"/>
  <c r="AD28" i="6"/>
  <c r="AC28" i="6"/>
  <c r="AG28" i="6"/>
  <c r="AH28" i="6"/>
  <c r="AI28" i="6"/>
  <c r="AJ28" i="6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E26" i="5"/>
  <c r="AF26" i="5"/>
  <c r="AD26" i="5"/>
  <c r="AC26" i="5"/>
  <c r="AG26" i="5"/>
  <c r="AH26" i="5"/>
  <c r="AI26" i="5"/>
  <c r="AJ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E27" i="5"/>
  <c r="AF27" i="5"/>
  <c r="AD27" i="5"/>
  <c r="AC27" i="5"/>
  <c r="AG27" i="5"/>
  <c r="AH27" i="5"/>
  <c r="AI27" i="5"/>
  <c r="AJ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E28" i="5"/>
  <c r="AF28" i="5"/>
  <c r="AD28" i="5"/>
  <c r="AC28" i="5"/>
  <c r="AG28" i="5"/>
  <c r="AH28" i="5"/>
  <c r="AI28" i="5"/>
  <c r="AJ28" i="5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E26" i="4"/>
  <c r="AF26" i="4"/>
  <c r="AD26" i="4"/>
  <c r="AC26" i="4"/>
  <c r="AG26" i="4"/>
  <c r="AH26" i="4"/>
  <c r="AI26" i="4"/>
  <c r="AJ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E27" i="4"/>
  <c r="AF27" i="4"/>
  <c r="AD27" i="4"/>
  <c r="AC27" i="4"/>
  <c r="AG27" i="4"/>
  <c r="AH27" i="4"/>
  <c r="AI27" i="4"/>
  <c r="AJ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E28" i="4"/>
  <c r="AF28" i="4"/>
  <c r="AD28" i="4"/>
  <c r="AC28" i="4"/>
  <c r="AG28" i="4"/>
  <c r="AH28" i="4"/>
  <c r="AI28" i="4"/>
  <c r="AJ28" i="4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E26" i="3"/>
  <c r="AF26" i="3"/>
  <c r="AD26" i="3"/>
  <c r="AC26" i="3"/>
  <c r="AG26" i="3"/>
  <c r="AH26" i="3"/>
  <c r="AI26" i="3"/>
  <c r="AJ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E27" i="3"/>
  <c r="AF27" i="3"/>
  <c r="AD27" i="3"/>
  <c r="AC27" i="3"/>
  <c r="AG27" i="3"/>
  <c r="AH27" i="3"/>
  <c r="AI27" i="3"/>
  <c r="AJ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E28" i="3"/>
  <c r="AF28" i="3"/>
  <c r="AD28" i="3"/>
  <c r="AC28" i="3"/>
  <c r="AG28" i="3"/>
  <c r="AH28" i="3"/>
  <c r="AI28" i="3"/>
  <c r="AJ28" i="3"/>
  <c r="AJ25" i="4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E25" i="5"/>
  <c r="AF25" i="5"/>
  <c r="AD25" i="5"/>
  <c r="AC25" i="5"/>
  <c r="AG25" i="5"/>
  <c r="AH25" i="5"/>
  <c r="AI25" i="5"/>
  <c r="AJ25" i="5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E25" i="4"/>
  <c r="AF25" i="4"/>
  <c r="AD25" i="4"/>
  <c r="AC25" i="4"/>
  <c r="AG25" i="4"/>
  <c r="AH25" i="4"/>
  <c r="AI25" i="4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E25" i="3"/>
  <c r="AF25" i="3"/>
  <c r="AD25" i="3"/>
  <c r="AC25" i="3"/>
  <c r="AG25" i="3"/>
  <c r="AH25" i="3"/>
  <c r="AI25" i="3"/>
  <c r="AJ25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E24" i="3"/>
  <c r="AF24" i="3"/>
  <c r="AD24" i="3"/>
  <c r="AC24" i="3"/>
  <c r="AG24" i="3"/>
  <c r="AH24" i="3"/>
  <c r="AI24" i="3"/>
  <c r="AJ24" i="3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E24" i="4"/>
  <c r="AF24" i="4"/>
  <c r="AD24" i="4"/>
  <c r="AC24" i="4"/>
  <c r="AG24" i="4"/>
  <c r="AH24" i="4"/>
  <c r="AI24" i="4"/>
  <c r="AJ24" i="4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E24" i="5"/>
  <c r="AF24" i="5"/>
  <c r="AD24" i="5"/>
  <c r="AC24" i="5"/>
  <c r="AG24" i="5"/>
  <c r="AH24" i="5"/>
  <c r="AI24" i="5"/>
  <c r="AJ24" i="5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E23" i="3"/>
  <c r="AF23" i="3"/>
  <c r="AD23" i="3"/>
  <c r="AC23" i="3"/>
  <c r="AG23" i="3"/>
  <c r="AH23" i="3"/>
  <c r="AI23" i="3"/>
  <c r="AJ23" i="3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E23" i="4"/>
  <c r="AF23" i="4"/>
  <c r="AD23" i="4"/>
  <c r="AC23" i="4"/>
  <c r="AG23" i="4"/>
  <c r="AH23" i="4"/>
  <c r="AI23" i="4"/>
  <c r="AJ23" i="4"/>
  <c r="B23" i="5" l="1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E23" i="5"/>
  <c r="AF23" i="5"/>
  <c r="AD23" i="5"/>
  <c r="AC23" i="5"/>
  <c r="AG23" i="5"/>
  <c r="AH23" i="5"/>
  <c r="AI23" i="5"/>
  <c r="AJ23" i="5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E22" i="3"/>
  <c r="AF22" i="3"/>
  <c r="AD22" i="3"/>
  <c r="AC22" i="3"/>
  <c r="AG22" i="3"/>
  <c r="AH22" i="3"/>
  <c r="AI22" i="3"/>
  <c r="AJ22" i="3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E22" i="4"/>
  <c r="AF22" i="4"/>
  <c r="AD22" i="4"/>
  <c r="AC22" i="4"/>
  <c r="AG22" i="4"/>
  <c r="AH22" i="4"/>
  <c r="AI22" i="4"/>
  <c r="AJ22" i="4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E22" i="5"/>
  <c r="AF22" i="5"/>
  <c r="AD22" i="5"/>
  <c r="AC22" i="5"/>
  <c r="AG22" i="5"/>
  <c r="AH22" i="5"/>
  <c r="AI22" i="5"/>
  <c r="AJ22" i="5"/>
  <c r="B21" i="3" l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E21" i="3"/>
  <c r="AF21" i="3"/>
  <c r="AD21" i="3"/>
  <c r="AC21" i="3"/>
  <c r="AG21" i="3"/>
  <c r="AH21" i="3"/>
  <c r="AI21" i="3"/>
  <c r="AJ21" i="3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E21" i="4"/>
  <c r="AF21" i="4"/>
  <c r="AD21" i="4"/>
  <c r="AC21" i="4"/>
  <c r="AG21" i="4"/>
  <c r="AH21" i="4"/>
  <c r="AI21" i="4"/>
  <c r="AJ21" i="4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E21" i="5"/>
  <c r="AF21" i="5"/>
  <c r="AD21" i="5"/>
  <c r="AC21" i="5"/>
  <c r="AG21" i="5"/>
  <c r="AH21" i="5"/>
  <c r="AI21" i="5"/>
  <c r="AJ21" i="5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E20" i="3"/>
  <c r="AF20" i="3"/>
  <c r="AD20" i="3"/>
  <c r="AC20" i="3"/>
  <c r="AG20" i="3"/>
  <c r="AH20" i="3"/>
  <c r="AI20" i="3"/>
  <c r="AJ20" i="3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E20" i="4"/>
  <c r="AF20" i="4"/>
  <c r="AD20" i="4"/>
  <c r="AC20" i="4"/>
  <c r="AG20" i="4"/>
  <c r="AH20" i="4"/>
  <c r="AI20" i="4"/>
  <c r="AJ20" i="4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E20" i="5"/>
  <c r="AF20" i="5"/>
  <c r="AD20" i="5"/>
  <c r="AC20" i="5"/>
  <c r="AG20" i="5"/>
  <c r="AH20" i="5"/>
  <c r="AI20" i="5"/>
  <c r="AJ20" i="5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E19" i="3"/>
  <c r="AF19" i="3"/>
  <c r="AD19" i="3"/>
  <c r="AC19" i="3"/>
  <c r="AG19" i="3"/>
  <c r="AH19" i="3"/>
  <c r="AI19" i="3"/>
  <c r="AJ19" i="3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E19" i="4"/>
  <c r="AF19" i="4"/>
  <c r="AD19" i="4"/>
  <c r="AC19" i="4"/>
  <c r="AG19" i="4"/>
  <c r="AH19" i="4"/>
  <c r="AI19" i="4"/>
  <c r="AJ19" i="4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E19" i="5"/>
  <c r="AF19" i="5"/>
  <c r="AD19" i="5"/>
  <c r="AC19" i="5"/>
  <c r="AG19" i="5"/>
  <c r="AH19" i="5"/>
  <c r="AI19" i="5"/>
  <c r="AJ19" i="5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E18" i="3"/>
  <c r="AF18" i="3"/>
  <c r="AD18" i="3"/>
  <c r="AC18" i="3"/>
  <c r="AG18" i="3"/>
  <c r="AH18" i="3"/>
  <c r="AI18" i="3"/>
  <c r="AJ18" i="3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E18" i="4"/>
  <c r="AF18" i="4"/>
  <c r="AD18" i="4"/>
  <c r="AC18" i="4"/>
  <c r="AG18" i="4"/>
  <c r="AH18" i="4"/>
  <c r="AI18" i="4"/>
  <c r="AJ18" i="4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E18" i="5"/>
  <c r="AF18" i="5"/>
  <c r="AD18" i="5"/>
  <c r="AC18" i="5"/>
  <c r="AG18" i="5"/>
  <c r="AH18" i="5"/>
  <c r="AI18" i="5"/>
  <c r="AJ18" i="5"/>
  <c r="C17" i="5" l="1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E17" i="5"/>
  <c r="AF17" i="5"/>
  <c r="AD17" i="5"/>
  <c r="AC17" i="5"/>
  <c r="AG17" i="5"/>
  <c r="AH17" i="5"/>
  <c r="AI17" i="5"/>
  <c r="AJ17" i="5"/>
  <c r="B17" i="5"/>
  <c r="AJ17" i="4"/>
  <c r="AI17" i="4"/>
  <c r="AH17" i="4"/>
  <c r="AG17" i="4"/>
  <c r="AC17" i="4"/>
  <c r="AD17" i="4"/>
  <c r="AF17" i="4"/>
  <c r="AE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J17" i="3"/>
  <c r="AI17" i="3"/>
  <c r="AH17" i="3"/>
  <c r="AG17" i="3"/>
  <c r="AC17" i="3"/>
  <c r="AD17" i="3"/>
  <c r="AF17" i="3"/>
  <c r="AE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E16" i="3"/>
  <c r="AF16" i="3"/>
  <c r="AD16" i="3"/>
  <c r="AC16" i="3"/>
  <c r="AG16" i="3"/>
  <c r="AH16" i="3"/>
  <c r="AI16" i="3"/>
  <c r="AJ16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E15" i="3"/>
  <c r="AF15" i="3"/>
  <c r="AD15" i="3"/>
  <c r="AC15" i="3"/>
  <c r="AG15" i="3"/>
  <c r="AH15" i="3"/>
  <c r="AI15" i="3"/>
  <c r="AJ15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E14" i="3"/>
  <c r="AF14" i="3"/>
  <c r="AD14" i="3"/>
  <c r="AC14" i="3"/>
  <c r="AG14" i="3"/>
  <c r="AH14" i="3"/>
  <c r="AI14" i="3"/>
  <c r="AJ14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E13" i="3"/>
  <c r="AF13" i="3"/>
  <c r="AD13" i="3"/>
  <c r="AC13" i="3"/>
  <c r="AG13" i="3"/>
  <c r="AH13" i="3"/>
  <c r="AI13" i="3"/>
  <c r="AJ13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E12" i="3"/>
  <c r="AF12" i="3"/>
  <c r="AD12" i="3"/>
  <c r="AC12" i="3"/>
  <c r="AG12" i="3"/>
  <c r="AH12" i="3"/>
  <c r="AI12" i="3"/>
  <c r="AJ12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E11" i="3"/>
  <c r="AF11" i="3"/>
  <c r="AD11" i="3"/>
  <c r="AC11" i="3"/>
  <c r="AG11" i="3"/>
  <c r="AH11" i="3"/>
  <c r="AI11" i="3"/>
  <c r="AJ11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E10" i="3"/>
  <c r="AF10" i="3"/>
  <c r="AD10" i="3"/>
  <c r="AC10" i="3"/>
  <c r="AG10" i="3"/>
  <c r="AH10" i="3"/>
  <c r="AI10" i="3"/>
  <c r="AJ10" i="3"/>
  <c r="B9" i="3" l="1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E9" i="3"/>
  <c r="AF9" i="3"/>
  <c r="AD9" i="3"/>
  <c r="AC9" i="3"/>
  <c r="AG9" i="3"/>
  <c r="AH9" i="3"/>
  <c r="AI9" i="3"/>
  <c r="AJ9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E8" i="3"/>
  <c r="AF8" i="3"/>
  <c r="AD8" i="3"/>
  <c r="AC8" i="3"/>
  <c r="AG8" i="3"/>
  <c r="AH8" i="3"/>
  <c r="AI8" i="3"/>
  <c r="AJ8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E7" i="3"/>
  <c r="AF7" i="3"/>
  <c r="AD7" i="3"/>
  <c r="AC7" i="3"/>
  <c r="AG7" i="3"/>
  <c r="AH7" i="3"/>
  <c r="AI7" i="3"/>
  <c r="AJ7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E6" i="3"/>
  <c r="AF6" i="3"/>
  <c r="AD6" i="3"/>
  <c r="AC6" i="3"/>
  <c r="AG6" i="3"/>
  <c r="AH6" i="3"/>
  <c r="AI6" i="3"/>
  <c r="AJ6" i="3"/>
</calcChain>
</file>

<file path=xl/sharedStrings.xml><?xml version="1.0" encoding="utf-8"?>
<sst xmlns="http://schemas.openxmlformats.org/spreadsheetml/2006/main" count="1881" uniqueCount="46">
  <si>
    <t>SE</t>
  </si>
  <si>
    <t>Total</t>
  </si>
  <si>
    <t>Setor</t>
  </si>
  <si>
    <t>Porte</t>
  </si>
  <si>
    <t>Indústria</t>
  </si>
  <si>
    <t>Comércio</t>
  </si>
  <si>
    <t>Serviços</t>
  </si>
  <si>
    <t>MPE</t>
  </si>
  <si>
    <t>Médias</t>
  </si>
  <si>
    <t>Grandes</t>
  </si>
  <si>
    <t>Mês</t>
  </si>
  <si>
    <t>Indicador Serasa Experian de Demanda das Empresas por Crédito - Variação Mensal</t>
  </si>
  <si>
    <t>Indicador Serasa Experian de Demanda das Empresas por Crédito - Variação Anual (mês vs. mesmo mês ano anterior)</t>
  </si>
  <si>
    <t>Indicador Serasa Experian de Demanda das Empresas por Crédito - Variação Acumulada Anual</t>
  </si>
  <si>
    <t>Indicador Serasa Experian de Demanda das Empresas por Crédito - Variação Acumulada em 12 Meses</t>
  </si>
  <si>
    <t>n.d.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</si>
  <si>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</si>
  <si>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</si>
  <si>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</si>
  <si>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</si>
  <si>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</si>
  <si>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</si>
  <si>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</si>
  <si>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</si>
  <si>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</si>
  <si>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</si>
  <si>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</si>
  <si>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</si>
  <si>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</si>
  <si>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</si>
  <si>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</si>
  <si>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</si>
  <si>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</si>
  <si>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</si>
  <si>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</si>
  <si>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</si>
  <si>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</si>
  <si>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</si>
  <si>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</si>
  <si>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</si>
  <si>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SP</t>
  </si>
  <si>
    <t>TO</t>
  </si>
  <si>
    <t>Estado</t>
  </si>
  <si>
    <t>Indicador Serasa Experian de Demanda das Empresas por Crédito (Média de 2024 = 100)</t>
  </si>
  <si>
    <t>Agropecuária</t>
  </si>
  <si>
    <t>Para séries históricas com período superior a dois anos, os clientes interessados devem entrar em contato com o Executivo de Vendas responsável pelo seu atendimento.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</si>
</sst>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mmm\-yy;@"/>
    <numFmt numFmtId="165" formatCode="0.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26478D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8288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6" fontId="2" fillId="2" borderId="6" xfId="1" applyNumberFormat="1" applyFont="1" applyFill="1" applyBorder="1" applyAlignment="1">
      <alignment horizontal="center"/>
    </xf>
    <xf numFmtId="166" fontId="2" fillId="2" borderId="0" xfId="1" applyNumberFormat="1" applyFont="1" applyFill="1" applyBorder="1" applyAlignment="1">
      <alignment horizontal="center"/>
    </xf>
    <xf numFmtId="166" fontId="2" fillId="2" borderId="7" xfId="1" applyNumberFormat="1" applyFont="1" applyFill="1" applyBorder="1" applyAlignment="1">
      <alignment horizontal="center"/>
    </xf>
    <xf numFmtId="166" fontId="2" fillId="2" borderId="8" xfId="1" applyNumberFormat="1" applyFont="1" applyFill="1" applyBorder="1" applyAlignment="1">
      <alignment horizontal="center"/>
    </xf>
    <xf numFmtId="166" fontId="2" fillId="2" borderId="9" xfId="1" applyNumberFormat="1" applyFont="1" applyFill="1" applyBorder="1" applyAlignment="1">
      <alignment horizontal="center"/>
    </xf>
    <xf numFmtId="166" fontId="2" fillId="2" borderId="10" xfId="1" applyNumberFormat="1" applyFont="1" applyFill="1" applyBorder="1" applyAlignment="1">
      <alignment horizontal="center"/>
    </xf>
    <xf numFmtId="166" fontId="2" fillId="2" borderId="2" xfId="1" applyNumberFormat="1" applyFont="1" applyFill="1" applyBorder="1" applyAlignment="1">
      <alignment horizontal="center"/>
    </xf>
    <xf numFmtId="166" fontId="2" fillId="2" borderId="3" xfId="1" applyNumberFormat="1" applyFont="1" applyFill="1" applyBorder="1" applyAlignment="1">
      <alignment horizontal="center"/>
    </xf>
    <xf numFmtId="166" fontId="2" fillId="2" borderId="4" xfId="1" applyNumberFormat="1" applyFont="1" applyFill="1" applyBorder="1" applyAlignment="1">
      <alignment horizontal="center"/>
    </xf>
    <xf numFmtId="166" fontId="2" fillId="2" borderId="5" xfId="1" applyNumberFormat="1" applyFont="1" applyFill="1" applyBorder="1" applyAlignment="1">
      <alignment horizontal="center"/>
    </xf>
    <xf numFmtId="166" fontId="2" fillId="2" borderId="11" xfId="1" applyNumberFormat="1" applyFont="1" applyFill="1" applyBorder="1" applyAlignment="1">
      <alignment horizontal="center"/>
    </xf>
    <xf numFmtId="166" fontId="2" fillId="2" borderId="12" xfId="1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0" fontId="6" fillId="0" borderId="0" xfId="0" applyFont="1"/>
    <xf numFmtId="0" fontId="3" fillId="2" borderId="0" xfId="0" applyFont="1" applyFill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982881"/>
      <color rgb="FF2647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1333500</xdr:colOff>
      <xdr:row>1</xdr:row>
      <xdr:rowOff>53975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01FCF6-2300-46D0-AD6D-50801FD1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6350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F3C759-8F65-48FC-8207-35E095D7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0</xdr:col>
      <xdr:colOff>1343025</xdr:colOff>
      <xdr:row>0</xdr:row>
      <xdr:rowOff>615950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026AB3-BDD3-4C0D-9723-446B13C9C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0"/>
          <a:ext cx="1333500" cy="61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615950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EFEE2A-799E-40D8-B9DB-10D1768C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1</xdr:col>
      <xdr:colOff>8597</xdr:colOff>
      <xdr:row>1</xdr:row>
      <xdr:rowOff>95251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F62E75-35F2-4B3B-A5E1-4287816F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1"/>
          <a:ext cx="1265897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tabSelected="1" zoomScale="90" zoomScaleNormal="90" workbookViewId="0">
      <pane xSplit="1" ySplit="4" topLeftCell="B29" activePane="bottomRight" state="frozen"/>
      <selection activeCell="J242" sqref="J242"/>
      <selection pane="topRight" activeCell="J242" sqref="J242"/>
      <selection pane="bottomLeft" activeCell="J242" sqref="J242"/>
      <selection pane="bottomRight" activeCell="A2" sqref="A2:AJ2"/>
    </sheetView>
  </sheetViews>
  <sheetFormatPr defaultColWidth="9.1796875" defaultRowHeight="14.5" x14ac:dyDescent="0.35"/>
  <cols>
    <col min="1" max="1" width="20.81640625" style="1" customWidth="1"/>
    <col min="2" max="28" width="9.1796875" style="1"/>
    <col min="29" max="29" width="12.81640625" style="1" bestFit="1" customWidth="1"/>
    <col min="30" max="16384" width="9.1796875" style="1"/>
  </cols>
  <sheetData>
    <row r="1" spans="1:36" ht="44.5" customHeight="1" x14ac:dyDescent="0.35"/>
    <row r="2" spans="1:36" ht="15" thickBot="1" x14ac:dyDescent="0.4">
      <c r="A2" s="36" t="s">
        <v>11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</row>
    <row r="3" spans="1:36" ht="15" thickBot="1" x14ac:dyDescent="0.4">
      <c r="B3" s="37" t="s">
        <v>42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37" t="s">
        <v>2</v>
      </c>
      <c r="AD3" s="38"/>
      <c r="AE3" s="38"/>
      <c r="AF3" s="39"/>
      <c r="AG3" s="37" t="s">
        <v>3</v>
      </c>
      <c r="AH3" s="38"/>
      <c r="AI3" s="39"/>
    </row>
    <row r="4" spans="1:36" ht="15" thickBot="1" x14ac:dyDescent="0.4">
      <c r="A4" s="2" t="s">
        <v>10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39</v>
      </c>
      <c r="Z4" s="4" t="s">
        <v>0</v>
      </c>
      <c r="AA4" s="4" t="s">
        <v>40</v>
      </c>
      <c r="AB4" s="5" t="s">
        <v>41</v>
      </c>
      <c r="AC4" s="4" t="s">
        <v>44</v>
      </c>
      <c r="AD4" s="4" t="s">
        <v>4</v>
      </c>
      <c r="AE4" s="4" t="s">
        <v>5</v>
      </c>
      <c r="AF4" s="4" t="s">
        <v>6</v>
      </c>
      <c r="AG4" s="3" t="s">
        <v>7</v>
      </c>
      <c r="AH4" s="4" t="s">
        <v>8</v>
      </c>
      <c r="AI4" s="5" t="s">
        <v>9</v>
      </c>
      <c r="AJ4" s="6" t="s">
        <v>1</v>
      </c>
    </row>
    <row r="5" spans="1:36" x14ac:dyDescent="0.35">
      <c r="A5" s="31">
        <v>45293</v>
      </c>
      <c r="B5" s="25" t="s">
        <v>15</v>
      </c>
      <c r="C5" s="26" t="s">
        <v>15</v>
      </c>
      <c r="D5" s="26" t="s">
        <v>15</v>
      </c>
      <c r="E5" s="26" t="s">
        <v>15</v>
      </c>
      <c r="F5" s="26" t="s">
        <v>15</v>
      </c>
      <c r="G5" s="26" t="s">
        <v>15</v>
      </c>
      <c r="H5" s="26" t="s">
        <v>15</v>
      </c>
      <c r="I5" s="26" t="s">
        <v>15</v>
      </c>
      <c r="J5" s="26" t="s">
        <v>15</v>
      </c>
      <c r="K5" s="26" t="s">
        <v>15</v>
      </c>
      <c r="L5" s="26" t="s">
        <v>15</v>
      </c>
      <c r="M5" s="26" t="s">
        <v>15</v>
      </c>
      <c r="N5" s="26" t="s">
        <v>15</v>
      </c>
      <c r="O5" s="26" t="s">
        <v>15</v>
      </c>
      <c r="P5" s="26" t="s">
        <v>15</v>
      </c>
      <c r="Q5" s="26" t="s">
        <v>15</v>
      </c>
      <c r="R5" s="26" t="s">
        <v>15</v>
      </c>
      <c r="S5" s="26" t="s">
        <v>15</v>
      </c>
      <c r="T5" s="26" t="s">
        <v>15</v>
      </c>
      <c r="U5" s="26" t="s">
        <v>15</v>
      </c>
      <c r="V5" s="26" t="s">
        <v>15</v>
      </c>
      <c r="W5" s="26" t="s">
        <v>15</v>
      </c>
      <c r="X5" s="26" t="s">
        <v>15</v>
      </c>
      <c r="Y5" s="26" t="s">
        <v>15</v>
      </c>
      <c r="Z5" s="26" t="s">
        <v>15</v>
      </c>
      <c r="AA5" s="26" t="s">
        <v>15</v>
      </c>
      <c r="AB5" s="27" t="s">
        <v>15</v>
      </c>
      <c r="AC5" s="26" t="s">
        <v>15</v>
      </c>
      <c r="AD5" s="20" t="s">
        <v>15</v>
      </c>
      <c r="AE5" s="26" t="s">
        <v>15</v>
      </c>
      <c r="AF5" s="26" t="s">
        <v>15</v>
      </c>
      <c r="AG5" s="25" t="s">
        <v>15</v>
      </c>
      <c r="AH5" s="26" t="s">
        <v>15</v>
      </c>
      <c r="AI5" s="27" t="s">
        <v>15</v>
      </c>
      <c r="AJ5" s="27" t="s">
        <v>15</v>
      </c>
    </row>
    <row r="6" spans="1:36" x14ac:dyDescent="0.35">
      <c r="A6" s="32">
        <v>45323</v>
      </c>
      <c r="B6" s="19">
        <f>Empresas!B6/Empresas!B5-1</f>
        <v>9.2347215285841777E-2</v>
      </c>
      <c r="C6" s="20">
        <f>Empresas!C6/Empresas!C5-1</f>
        <v>-1.4780982944007759E-2</v>
      </c>
      <c r="D6" s="20">
        <f>Empresas!D6/Empresas!D5-1</f>
        <v>-2.6155548628195135E-2</v>
      </c>
      <c r="E6" s="20">
        <f>Empresas!E6/Empresas!E5-1</f>
        <v>0.18765223076254434</v>
      </c>
      <c r="F6" s="20">
        <f>Empresas!F6/Empresas!F5-1</f>
        <v>-7.0052861398683497E-2</v>
      </c>
      <c r="G6" s="20">
        <f>Empresas!G6/Empresas!G5-1</f>
        <v>-8.2486813091681155E-2</v>
      </c>
      <c r="H6" s="20">
        <f>Empresas!H6/Empresas!H5-1</f>
        <v>-5.7999183856945358E-2</v>
      </c>
      <c r="I6" s="20">
        <f>Empresas!I6/Empresas!I5-1</f>
        <v>5.7954638716898099E-2</v>
      </c>
      <c r="J6" s="20">
        <f>Empresas!J6/Empresas!J5-1</f>
        <v>-4.5123204486828272E-2</v>
      </c>
      <c r="K6" s="20">
        <f>Empresas!K6/Empresas!K5-1</f>
        <v>-9.9410126607299754E-2</v>
      </c>
      <c r="L6" s="20">
        <f>Empresas!L6/Empresas!L5-1</f>
        <v>-3.660069519123077E-2</v>
      </c>
      <c r="M6" s="20">
        <f>Empresas!M6/Empresas!M5-1</f>
        <v>-3.505250368828583E-2</v>
      </c>
      <c r="N6" s="20">
        <f>Empresas!N6/Empresas!N5-1</f>
        <v>2.0338859391875408E-2</v>
      </c>
      <c r="O6" s="20">
        <f>Empresas!O6/Empresas!O5-1</f>
        <v>-2.4294642658744592E-2</v>
      </c>
      <c r="P6" s="20">
        <f>Empresas!P6/Empresas!P5-1</f>
        <v>-4.9282122078000867E-2</v>
      </c>
      <c r="Q6" s="20">
        <f>Empresas!Q6/Empresas!Q5-1</f>
        <v>-5.1717492514376739E-2</v>
      </c>
      <c r="R6" s="20">
        <f>Empresas!R6/Empresas!R5-1</f>
        <v>-1.1391840672804743E-2</v>
      </c>
      <c r="S6" s="20">
        <f>Empresas!S6/Empresas!S5-1</f>
        <v>-1.0437248692366174E-2</v>
      </c>
      <c r="T6" s="20">
        <f>Empresas!T6/Empresas!T5-1</f>
        <v>-0.11358653713046396</v>
      </c>
      <c r="U6" s="20">
        <f>Empresas!U6/Empresas!U5-1</f>
        <v>-7.1702626294451455E-2</v>
      </c>
      <c r="V6" s="20">
        <f>Empresas!V6/Empresas!V5-1</f>
        <v>0.22506133550487029</v>
      </c>
      <c r="W6" s="20">
        <f>Empresas!W6/Empresas!W5-1</f>
        <v>-0.10741640863863944</v>
      </c>
      <c r="X6" s="20">
        <f>Empresas!X6/Empresas!X5-1</f>
        <v>3.3332806478395538E-2</v>
      </c>
      <c r="Y6" s="20">
        <f>Empresas!Y6/Empresas!Y5-1</f>
        <v>-9.2957603411338852E-3</v>
      </c>
      <c r="Z6" s="20">
        <f>Empresas!Z6/Empresas!Z5-1</f>
        <v>-3.4096815187444562E-2</v>
      </c>
      <c r="AA6" s="20">
        <f>Empresas!AA6/Empresas!AA5-1</f>
        <v>-1.8920480778297111E-2</v>
      </c>
      <c r="AB6" s="21">
        <f>Empresas!AB6/Empresas!AB5-1</f>
        <v>-2.6236617014014474E-2</v>
      </c>
      <c r="AC6" s="20">
        <f>Empresas!AC6/Empresas!AC5-1</f>
        <v>1.570222405266275E-3</v>
      </c>
      <c r="AD6" s="20">
        <f>Empresas!AD6/Empresas!AD5-1</f>
        <v>-3.2817335014255322E-2</v>
      </c>
      <c r="AE6" s="20">
        <f>Empresas!AE6/Empresas!AE5-1</f>
        <v>-1.664126485031725E-2</v>
      </c>
      <c r="AF6" s="20">
        <f>Empresas!AF6/Empresas!AF5-1</f>
        <v>-3.6171620359620849E-2</v>
      </c>
      <c r="AG6" s="19">
        <f>Empresas!AG6/Empresas!AG5-1</f>
        <v>-2.6936069429504328E-2</v>
      </c>
      <c r="AH6" s="20">
        <f>Empresas!AH6/Empresas!AH5-1</f>
        <v>-5.1308563051505329E-3</v>
      </c>
      <c r="AI6" s="21">
        <f>Empresas!AI6/Empresas!AI5-1</f>
        <v>-1.6258978115102352E-2</v>
      </c>
      <c r="AJ6" s="21">
        <f>Empresas!AJ6/Empresas!AJ5-1</f>
        <v>-2.6350349208986268E-2</v>
      </c>
    </row>
    <row r="7" spans="1:36" x14ac:dyDescent="0.35">
      <c r="A7" s="32">
        <v>45352</v>
      </c>
      <c r="B7" s="19">
        <f>Empresas!B7/Empresas!B6-1</f>
        <v>0.10204628289116302</v>
      </c>
      <c r="C7" s="20">
        <f>Empresas!C7/Empresas!C6-1</f>
        <v>6.0980798981213225E-2</v>
      </c>
      <c r="D7" s="20">
        <f>Empresas!D7/Empresas!D6-1</f>
        <v>0.22622254559523691</v>
      </c>
      <c r="E7" s="20">
        <f>Empresas!E7/Empresas!E6-1</f>
        <v>-9.2505779174821501E-2</v>
      </c>
      <c r="F7" s="20">
        <f>Empresas!F7/Empresas!F6-1</f>
        <v>0.11733455055814712</v>
      </c>
      <c r="G7" s="20">
        <f>Empresas!G7/Empresas!G6-1</f>
        <v>6.382491074574026E-2</v>
      </c>
      <c r="H7" s="20">
        <f>Empresas!H7/Empresas!H6-1</f>
        <v>0.14477355276578985</v>
      </c>
      <c r="I7" s="20">
        <f>Empresas!I7/Empresas!I6-1</f>
        <v>0.33646414941281821</v>
      </c>
      <c r="J7" s="20">
        <f>Empresas!J7/Empresas!J6-1</f>
        <v>6.216627834428845E-2</v>
      </c>
      <c r="K7" s="20">
        <f>Empresas!K7/Empresas!K6-1</f>
        <v>0.18338429824415803</v>
      </c>
      <c r="L7" s="20">
        <f>Empresas!L7/Empresas!L6-1</f>
        <v>7.4050999154272823E-2</v>
      </c>
      <c r="M7" s="20">
        <f>Empresas!M7/Empresas!M6-1</f>
        <v>5.7966910331066046E-2</v>
      </c>
      <c r="N7" s="20">
        <f>Empresas!N7/Empresas!N6-1</f>
        <v>3.108629784194461E-2</v>
      </c>
      <c r="O7" s="20">
        <f>Empresas!O7/Empresas!O6-1</f>
        <v>0.11711416827443943</v>
      </c>
      <c r="P7" s="20">
        <f>Empresas!P7/Empresas!P6-1</f>
        <v>8.8876042427431079E-2</v>
      </c>
      <c r="Q7" s="20">
        <f>Empresas!Q7/Empresas!Q6-1</f>
        <v>0.11220394197951689</v>
      </c>
      <c r="R7" s="20">
        <f>Empresas!R7/Empresas!R6-1</f>
        <v>7.5560088623716881E-2</v>
      </c>
      <c r="S7" s="20">
        <f>Empresas!S7/Empresas!S6-1</f>
        <v>4.8635211406613976E-2</v>
      </c>
      <c r="T7" s="20">
        <f>Empresas!T7/Empresas!T6-1</f>
        <v>0.31157583458536031</v>
      </c>
      <c r="U7" s="20">
        <f>Empresas!U7/Empresas!U6-1</f>
        <v>0.13975894268912215</v>
      </c>
      <c r="V7" s="20">
        <f>Empresas!V7/Empresas!V6-1</f>
        <v>-0.10589964109525685</v>
      </c>
      <c r="W7" s="20">
        <f>Empresas!W7/Empresas!W6-1</f>
        <v>0.14495086626956732</v>
      </c>
      <c r="X7" s="20">
        <f>Empresas!X7/Empresas!X6-1</f>
        <v>2.9382109594393802E-2</v>
      </c>
      <c r="Y7" s="20">
        <f>Empresas!Y7/Empresas!Y6-1</f>
        <v>4.7216958608971238E-2</v>
      </c>
      <c r="Z7" s="20">
        <f>Empresas!Z7/Empresas!Z6-1</f>
        <v>9.31738862760918E-2</v>
      </c>
      <c r="AA7" s="20">
        <f>Empresas!AA7/Empresas!AA6-1</f>
        <v>0.19290849170216839</v>
      </c>
      <c r="AB7" s="21">
        <f>Empresas!AB7/Empresas!AB6-1</f>
        <v>9.958647853951641E-2</v>
      </c>
      <c r="AC7" s="20">
        <f>Empresas!AC7/Empresas!AC6-1</f>
        <v>7.2682412809378816E-2</v>
      </c>
      <c r="AD7" s="20">
        <f>Empresas!AD7/Empresas!AD6-1</f>
        <v>0.11579149522133281</v>
      </c>
      <c r="AE7" s="20">
        <f>Empresas!AE7/Empresas!AE6-1</f>
        <v>8.4901879706706262E-2</v>
      </c>
      <c r="AF7" s="20">
        <f>Empresas!AF7/Empresas!AF6-1</f>
        <v>0.18111350598994758</v>
      </c>
      <c r="AG7" s="19">
        <f>Empresas!AG7/Empresas!AG6-1</f>
        <v>0.12507897362482678</v>
      </c>
      <c r="AH7" s="20">
        <f>Empresas!AH7/Empresas!AH6-1</f>
        <v>0.15730463797441252</v>
      </c>
      <c r="AI7" s="21">
        <f>Empresas!AI7/Empresas!AI6-1</f>
        <v>9.6593681690357869E-2</v>
      </c>
      <c r="AJ7" s="21">
        <f>Empresas!AJ7/Empresas!AJ6-1</f>
        <v>0.12550766243905476</v>
      </c>
    </row>
    <row r="8" spans="1:36" x14ac:dyDescent="0.35">
      <c r="A8" s="32">
        <v>45383</v>
      </c>
      <c r="B8" s="19">
        <f>Empresas!B8/Empresas!B7-1</f>
        <v>-4.5941040176265102E-2</v>
      </c>
      <c r="C8" s="20">
        <f>Empresas!C8/Empresas!C7-1</f>
        <v>-8.8586798718464088E-3</v>
      </c>
      <c r="D8" s="20">
        <f>Empresas!D8/Empresas!D7-1</f>
        <v>-9.4365091008540736E-2</v>
      </c>
      <c r="E8" s="20">
        <f>Empresas!E8/Empresas!E7-1</f>
        <v>-9.8263390181895227E-3</v>
      </c>
      <c r="F8" s="20">
        <f>Empresas!F8/Empresas!F7-1</f>
        <v>-1.0873134185569455E-3</v>
      </c>
      <c r="G8" s="20">
        <f>Empresas!G8/Empresas!G7-1</f>
        <v>0.11348574557794633</v>
      </c>
      <c r="H8" s="20">
        <f>Empresas!H8/Empresas!H7-1</f>
        <v>-4.295295159524537E-2</v>
      </c>
      <c r="I8" s="20">
        <f>Empresas!I8/Empresas!I7-1</f>
        <v>-0.25196233659109413</v>
      </c>
      <c r="J8" s="20">
        <f>Empresas!J8/Empresas!J7-1</f>
        <v>4.2380324321949381E-2</v>
      </c>
      <c r="K8" s="20">
        <f>Empresas!K8/Empresas!K7-1</f>
        <v>-4.417967187820937E-2</v>
      </c>
      <c r="L8" s="20">
        <f>Empresas!L8/Empresas!L7-1</f>
        <v>1.5676529090324909E-2</v>
      </c>
      <c r="M8" s="20">
        <f>Empresas!M8/Empresas!M7-1</f>
        <v>2.4377366147766422E-2</v>
      </c>
      <c r="N8" s="20">
        <f>Empresas!N8/Empresas!N7-1</f>
        <v>1.0965038809949812E-2</v>
      </c>
      <c r="O8" s="20">
        <f>Empresas!O8/Empresas!O7-1</f>
        <v>-3.1565946449794602E-2</v>
      </c>
      <c r="P8" s="20">
        <f>Empresas!P8/Empresas!P7-1</f>
        <v>3.210807490663159E-3</v>
      </c>
      <c r="Q8" s="20">
        <f>Empresas!Q8/Empresas!Q7-1</f>
        <v>6.1055539238655365E-2</v>
      </c>
      <c r="R8" s="20">
        <f>Empresas!R8/Empresas!R7-1</f>
        <v>-9.3150561935473331E-3</v>
      </c>
      <c r="S8" s="20">
        <f>Empresas!S8/Empresas!S7-1</f>
        <v>1.9191841768702034E-3</v>
      </c>
      <c r="T8" s="20">
        <f>Empresas!T8/Empresas!T7-1</f>
        <v>-0.12295196971055411</v>
      </c>
      <c r="U8" s="20">
        <f>Empresas!U8/Empresas!U7-1</f>
        <v>1.5061050933003362E-2</v>
      </c>
      <c r="V8" s="20">
        <f>Empresas!V8/Empresas!V7-1</f>
        <v>8.8970958218579366E-3</v>
      </c>
      <c r="W8" s="20">
        <f>Empresas!W8/Empresas!W7-1</f>
        <v>1.2056279442068218E-2</v>
      </c>
      <c r="X8" s="20">
        <f>Empresas!X8/Empresas!X7-1</f>
        <v>0.10414753639592345</v>
      </c>
      <c r="Y8" s="20">
        <f>Empresas!Y8/Empresas!Y7-1</f>
        <v>1.0257140667878639E-2</v>
      </c>
      <c r="Z8" s="20">
        <f>Empresas!Z8/Empresas!Z7-1</f>
        <v>1.9277831856767902E-2</v>
      </c>
      <c r="AA8" s="20">
        <f>Empresas!AA8/Empresas!AA7-1</f>
        <v>-2.3535085080760632E-2</v>
      </c>
      <c r="AB8" s="21">
        <f>Empresas!AB8/Empresas!AB7-1</f>
        <v>-4.102844764764535E-2</v>
      </c>
      <c r="AC8" s="20">
        <f>Empresas!AC8/Empresas!AC7-1</f>
        <v>0.22864604547523726</v>
      </c>
      <c r="AD8" s="20">
        <f>Empresas!AD8/Empresas!AD7-1</f>
        <v>1.1550109678428067E-2</v>
      </c>
      <c r="AE8" s="20">
        <f>Empresas!AE8/Empresas!AE7-1</f>
        <v>-2.4721669117335754E-3</v>
      </c>
      <c r="AF8" s="20">
        <f>Empresas!AF8/Empresas!AF7-1</f>
        <v>-3.6171082358825157E-2</v>
      </c>
      <c r="AG8" s="19">
        <f>Empresas!AG8/Empresas!AG7-1</f>
        <v>-7.900550403732054E-3</v>
      </c>
      <c r="AH8" s="20">
        <f>Empresas!AH8/Empresas!AH7-1</f>
        <v>-0.10886255984894033</v>
      </c>
      <c r="AI8" s="21">
        <f>Empresas!AI8/Empresas!AI7-1</f>
        <v>-5.4611269516376848E-2</v>
      </c>
      <c r="AJ8" s="21">
        <f>Empresas!AJ8/Empresas!AJ7-1</f>
        <v>-1.0689443403027798E-2</v>
      </c>
    </row>
    <row r="9" spans="1:36" x14ac:dyDescent="0.35">
      <c r="A9" s="32">
        <v>45413</v>
      </c>
      <c r="B9" s="19">
        <f>Empresas!B9/Empresas!B8-1</f>
        <v>0.10651289266317865</v>
      </c>
      <c r="C9" s="20">
        <f>Empresas!C9/Empresas!C8-1</f>
        <v>-2.1387374830460049E-2</v>
      </c>
      <c r="D9" s="20">
        <f>Empresas!D9/Empresas!D8-1</f>
        <v>2.3580772119179194E-2</v>
      </c>
      <c r="E9" s="20">
        <f>Empresas!E9/Empresas!E8-1</f>
        <v>0.16729702541619562</v>
      </c>
      <c r="F9" s="20">
        <f>Empresas!F9/Empresas!F8-1</f>
        <v>-1.4047111475604113E-2</v>
      </c>
      <c r="G9" s="20">
        <f>Empresas!G9/Empresas!G8-1</f>
        <v>-4.1743756292662137E-2</v>
      </c>
      <c r="H9" s="20">
        <f>Empresas!H9/Empresas!H8-1</f>
        <v>5.7976560800909738E-4</v>
      </c>
      <c r="I9" s="20">
        <f>Empresas!I9/Empresas!I8-1</f>
        <v>-2.4653746772150598E-2</v>
      </c>
      <c r="J9" s="20">
        <f>Empresas!J9/Empresas!J8-1</f>
        <v>-4.9162705389753758E-2</v>
      </c>
      <c r="K9" s="20">
        <f>Empresas!K9/Empresas!K8-1</f>
        <v>8.3309848335715309E-3</v>
      </c>
      <c r="L9" s="20">
        <f>Empresas!L9/Empresas!L8-1</f>
        <v>-3.1666144093475346E-2</v>
      </c>
      <c r="M9" s="20">
        <f>Empresas!M9/Empresas!M8-1</f>
        <v>6.8956825115698228E-2</v>
      </c>
      <c r="N9" s="20">
        <f>Empresas!N9/Empresas!N8-1</f>
        <v>-4.2643331208550572E-3</v>
      </c>
      <c r="O9" s="20">
        <f>Empresas!O9/Empresas!O8-1</f>
        <v>6.6093334757965305E-2</v>
      </c>
      <c r="P9" s="20">
        <f>Empresas!P9/Empresas!P8-1</f>
        <v>-2.1078851159379686E-2</v>
      </c>
      <c r="Q9" s="20">
        <f>Empresas!Q9/Empresas!Q8-1</f>
        <v>-7.2111899257618961E-2</v>
      </c>
      <c r="R9" s="20">
        <f>Empresas!R9/Empresas!R8-1</f>
        <v>-9.751869402124691E-3</v>
      </c>
      <c r="S9" s="20">
        <f>Empresas!S9/Empresas!S8-1</f>
        <v>-6.730008579977298E-3</v>
      </c>
      <c r="T9" s="20">
        <f>Empresas!T9/Empresas!T8-1</f>
        <v>-1.6530466273044775E-3</v>
      </c>
      <c r="U9" s="20">
        <f>Empresas!U9/Empresas!U8-1</f>
        <v>1.2915167951427886E-2</v>
      </c>
      <c r="V9" s="20">
        <f>Empresas!V9/Empresas!V8-1</f>
        <v>6.4632057970718026E-2</v>
      </c>
      <c r="W9" s="20">
        <f>Empresas!W9/Empresas!W8-1</f>
        <v>1.3015018970607084E-2</v>
      </c>
      <c r="X9" s="20">
        <f>Empresas!X9/Empresas!X8-1</f>
        <v>-0.23250799159723701</v>
      </c>
      <c r="Y9" s="20">
        <f>Empresas!Y9/Empresas!Y8-1</f>
        <v>2.944780974657224E-2</v>
      </c>
      <c r="Z9" s="20">
        <f>Empresas!Z9/Empresas!Z8-1</f>
        <v>-5.9398355132951219E-2</v>
      </c>
      <c r="AA9" s="20">
        <f>Empresas!AA9/Empresas!AA8-1</f>
        <v>-4.9805765534685187E-2</v>
      </c>
      <c r="AB9" s="21">
        <f>Empresas!AB9/Empresas!AB8-1</f>
        <v>6.582699394438829E-2</v>
      </c>
      <c r="AC9" s="20">
        <f>Empresas!AC9/Empresas!AC8-1</f>
        <v>-0.19301872074882453</v>
      </c>
      <c r="AD9" s="20">
        <f>Empresas!AD9/Empresas!AD8-1</f>
        <v>-2.5924518055933543E-2</v>
      </c>
      <c r="AE9" s="20">
        <f>Empresas!AE9/Empresas!AE8-1</f>
        <v>-3.520380825020375E-2</v>
      </c>
      <c r="AF9" s="20">
        <f>Empresas!AF9/Empresas!AF8-1</f>
        <v>-3.8723017447588215E-2</v>
      </c>
      <c r="AG9" s="19">
        <f>Empresas!AG9/Empresas!AG8-1</f>
        <v>-3.7976884108301801E-2</v>
      </c>
      <c r="AH9" s="20">
        <f>Empresas!AH9/Empresas!AH8-1</f>
        <v>-1.943597445852896E-2</v>
      </c>
      <c r="AI9" s="21">
        <f>Empresas!AI9/Empresas!AI8-1</f>
        <v>-1.8470960712506868E-2</v>
      </c>
      <c r="AJ9" s="21">
        <f>Empresas!AJ9/Empresas!AJ8-1</f>
        <v>-3.7406500436190981E-2</v>
      </c>
    </row>
    <row r="10" spans="1:36" x14ac:dyDescent="0.35">
      <c r="A10" s="32">
        <v>45444</v>
      </c>
      <c r="B10" s="19">
        <f>Empresas!B10/Empresas!B9-1</f>
        <v>-5.9591032111582676E-2</v>
      </c>
      <c r="C10" s="20">
        <f>Empresas!C10/Empresas!C9-1</f>
        <v>0.17314265451921429</v>
      </c>
      <c r="D10" s="20">
        <f>Empresas!D10/Empresas!D9-1</f>
        <v>-3.351702656163702E-2</v>
      </c>
      <c r="E10" s="20">
        <f>Empresas!E10/Empresas!E9-1</f>
        <v>-0.10664852298242933</v>
      </c>
      <c r="F10" s="20">
        <f>Empresas!F10/Empresas!F9-1</f>
        <v>6.5754350494545477E-2</v>
      </c>
      <c r="G10" s="20">
        <f>Empresas!G10/Empresas!G9-1</f>
        <v>3.6944304963560715E-2</v>
      </c>
      <c r="H10" s="20">
        <f>Empresas!H10/Empresas!H9-1</f>
        <v>3.6840118316520343E-2</v>
      </c>
      <c r="I10" s="20">
        <f>Empresas!I10/Empresas!I9-1</f>
        <v>8.358671323938438E-2</v>
      </c>
      <c r="J10" s="20">
        <f>Empresas!J10/Empresas!J9-1</f>
        <v>4.0562989177819864E-2</v>
      </c>
      <c r="K10" s="20">
        <f>Empresas!K10/Empresas!K9-1</f>
        <v>6.1609975554277385E-2</v>
      </c>
      <c r="L10" s="20">
        <f>Empresas!L10/Empresas!L9-1</f>
        <v>9.1680685414308183E-2</v>
      </c>
      <c r="M10" s="20">
        <f>Empresas!M10/Empresas!M9-1</f>
        <v>-4.7424139356745387E-2</v>
      </c>
      <c r="N10" s="20">
        <f>Empresas!N10/Empresas!N9-1</f>
        <v>4.9183978863402755E-2</v>
      </c>
      <c r="O10" s="20">
        <f>Empresas!O10/Empresas!O9-1</f>
        <v>1.7550871143934277E-3</v>
      </c>
      <c r="P10" s="20">
        <f>Empresas!P10/Empresas!P9-1</f>
        <v>3.2706775972759505E-3</v>
      </c>
      <c r="Q10" s="20">
        <f>Empresas!Q10/Empresas!Q9-1</f>
        <v>-8.3186877305362339E-3</v>
      </c>
      <c r="R10" s="20">
        <f>Empresas!R10/Empresas!R9-1</f>
        <v>6.6903928855416961E-2</v>
      </c>
      <c r="S10" s="20">
        <f>Empresas!S10/Empresas!S9-1</f>
        <v>1.8845717217274238E-2</v>
      </c>
      <c r="T10" s="20">
        <f>Empresas!T10/Empresas!T9-1</f>
        <v>9.7824357806240547E-2</v>
      </c>
      <c r="U10" s="20">
        <f>Empresas!U10/Empresas!U9-1</f>
        <v>-4.2916201451569158E-2</v>
      </c>
      <c r="V10" s="20">
        <f>Empresas!V10/Empresas!V9-1</f>
        <v>-3.0075515415213916E-2</v>
      </c>
      <c r="W10" s="20">
        <f>Empresas!W10/Empresas!W9-1</f>
        <v>8.4137112294013772E-3</v>
      </c>
      <c r="X10" s="20">
        <f>Empresas!X10/Empresas!X9-1</f>
        <v>0.19377869196345743</v>
      </c>
      <c r="Y10" s="20">
        <f>Empresas!Y10/Empresas!Y9-1</f>
        <v>4.3845034243137571E-2</v>
      </c>
      <c r="Z10" s="20">
        <f>Empresas!Z10/Empresas!Z9-1</f>
        <v>-2.1845533398657468E-2</v>
      </c>
      <c r="AA10" s="20">
        <f>Empresas!AA10/Empresas!AA9-1</f>
        <v>-2.4710912122212103E-2</v>
      </c>
      <c r="AB10" s="21">
        <f>Empresas!AB10/Empresas!AB9-1</f>
        <v>9.8649587298844654E-3</v>
      </c>
      <c r="AC10" s="20">
        <f>Empresas!AC10/Empresas!AC9-1</f>
        <v>5.3743173360387919E-2</v>
      </c>
      <c r="AD10" s="20">
        <f>Empresas!AD10/Empresas!AD9-1</f>
        <v>2.4689293253648437E-2</v>
      </c>
      <c r="AE10" s="20">
        <f>Empresas!AE10/Empresas!AE9-1</f>
        <v>4.5206260684639288E-2</v>
      </c>
      <c r="AF10" s="20">
        <f>Empresas!AF10/Empresas!AF9-1</f>
        <v>3.0370563963660668E-2</v>
      </c>
      <c r="AG10" s="19">
        <f>Empresas!AG10/Empresas!AG9-1</f>
        <v>3.6722976966488519E-2</v>
      </c>
      <c r="AH10" s="20">
        <f>Empresas!AH10/Empresas!AH9-1</f>
        <v>2.7358663277402773E-2</v>
      </c>
      <c r="AI10" s="21">
        <f>Empresas!AI10/Empresas!AI9-1</f>
        <v>1.731070433039239E-2</v>
      </c>
      <c r="AJ10" s="21">
        <f>Empresas!AJ10/Empresas!AJ9-1</f>
        <v>3.6336337694405474E-2</v>
      </c>
    </row>
    <row r="11" spans="1:36" x14ac:dyDescent="0.35">
      <c r="A11" s="32">
        <v>45474</v>
      </c>
      <c r="B11" s="19">
        <f>Empresas!B11/Empresas!B10-1</f>
        <v>6.1061321087851894E-4</v>
      </c>
      <c r="C11" s="20">
        <f>Empresas!C11/Empresas!C10-1</f>
        <v>-7.4904281606826384E-2</v>
      </c>
      <c r="D11" s="20">
        <f>Empresas!D11/Empresas!D10-1</f>
        <v>5.6418648480117906E-2</v>
      </c>
      <c r="E11" s="20">
        <f>Empresas!E11/Empresas!E10-1</f>
        <v>8.9127824222252627E-3</v>
      </c>
      <c r="F11" s="20">
        <f>Empresas!F11/Empresas!F10-1</f>
        <v>5.3262604986183959E-2</v>
      </c>
      <c r="G11" s="20">
        <f>Empresas!G11/Empresas!G10-1</f>
        <v>7.746150412357844E-2</v>
      </c>
      <c r="H11" s="20">
        <f>Empresas!H11/Empresas!H10-1</f>
        <v>0.30940914389904917</v>
      </c>
      <c r="I11" s="20">
        <f>Empresas!I11/Empresas!I10-1</f>
        <v>0.29016975880939833</v>
      </c>
      <c r="J11" s="20">
        <f>Empresas!J11/Empresas!J10-1</f>
        <v>0.11807196464216796</v>
      </c>
      <c r="K11" s="20">
        <f>Empresas!K11/Empresas!K10-1</f>
        <v>-2.8671027064507193E-2</v>
      </c>
      <c r="L11" s="20">
        <f>Empresas!L11/Empresas!L10-1</f>
        <v>0.11396171026481605</v>
      </c>
      <c r="M11" s="20">
        <f>Empresas!M11/Empresas!M10-1</f>
        <v>0.48990432279814966</v>
      </c>
      <c r="N11" s="20">
        <f>Empresas!N11/Empresas!N10-1</f>
        <v>0.15876194460977766</v>
      </c>
      <c r="O11" s="20">
        <f>Empresas!O11/Empresas!O10-1</f>
        <v>-1.9240431094052268E-2</v>
      </c>
      <c r="P11" s="20">
        <f>Empresas!P11/Empresas!P10-1</f>
        <v>0.15098247755268224</v>
      </c>
      <c r="Q11" s="20">
        <f>Empresas!Q11/Empresas!Q10-1</f>
        <v>0.14198356829301373</v>
      </c>
      <c r="R11" s="20">
        <f>Empresas!R11/Empresas!R10-1</f>
        <v>1.3314628639847115E-2</v>
      </c>
      <c r="S11" s="20">
        <f>Empresas!S11/Empresas!S10-1</f>
        <v>0.10243404141720847</v>
      </c>
      <c r="T11" s="20">
        <f>Empresas!T11/Empresas!T10-1</f>
        <v>0.1840358493371983</v>
      </c>
      <c r="U11" s="20">
        <f>Empresas!U11/Empresas!U10-1</f>
        <v>8.7539319299927865E-2</v>
      </c>
      <c r="V11" s="20">
        <f>Empresas!V11/Empresas!V10-1</f>
        <v>-6.1412350866560939E-3</v>
      </c>
      <c r="W11" s="20">
        <f>Empresas!W11/Empresas!W10-1</f>
        <v>3.1571745417258823E-2</v>
      </c>
      <c r="X11" s="20">
        <f>Empresas!X11/Empresas!X10-1</f>
        <v>0.11599259994766009</v>
      </c>
      <c r="Y11" s="20">
        <f>Empresas!Y11/Empresas!Y10-1</f>
        <v>3.9047584786548128E-2</v>
      </c>
      <c r="Z11" s="20">
        <f>Empresas!Z11/Empresas!Z10-1</f>
        <v>0.16772475518138763</v>
      </c>
      <c r="AA11" s="20">
        <f>Empresas!AA11/Empresas!AA10-1</f>
        <v>0.10456647682126974</v>
      </c>
      <c r="AB11" s="21">
        <f>Empresas!AB11/Empresas!AB10-1</f>
        <v>6.0195033888113425E-2</v>
      </c>
      <c r="AC11" s="20">
        <f>Empresas!AC11/Empresas!AC10-1</f>
        <v>0.22024492042380062</v>
      </c>
      <c r="AD11" s="20">
        <f>Empresas!AD11/Empresas!AD10-1</f>
        <v>7.8978770941618093E-2</v>
      </c>
      <c r="AE11" s="20">
        <f>Empresas!AE11/Empresas!AE10-1</f>
        <v>9.8531330470435607E-2</v>
      </c>
      <c r="AF11" s="20">
        <f>Empresas!AF11/Empresas!AF10-1</f>
        <v>0.13444241355615039</v>
      </c>
      <c r="AG11" s="19">
        <f>Empresas!AG11/Empresas!AG10-1</f>
        <v>0.11334720695051037</v>
      </c>
      <c r="AH11" s="20">
        <f>Empresas!AH11/Empresas!AH10-1</f>
        <v>1.9099646122464398E-2</v>
      </c>
      <c r="AI11" s="21">
        <f>Empresas!AI11/Empresas!AI10-1</f>
        <v>2.4983785236943223E-2</v>
      </c>
      <c r="AJ11" s="21">
        <f>Empresas!AJ11/Empresas!AJ10-1</f>
        <v>0.11053082199253073</v>
      </c>
    </row>
    <row r="12" spans="1:36" x14ac:dyDescent="0.35">
      <c r="A12" s="32">
        <v>45505</v>
      </c>
      <c r="B12" s="19">
        <f>Empresas!B12/Empresas!B11-1</f>
        <v>0.19367231540459917</v>
      </c>
      <c r="C12" s="20">
        <f>Empresas!C12/Empresas!C11-1</f>
        <v>0.12348092957177226</v>
      </c>
      <c r="D12" s="20">
        <f>Empresas!D12/Empresas!D11-1</f>
        <v>7.9517560694159162E-2</v>
      </c>
      <c r="E12" s="20">
        <f>Empresas!E12/Empresas!E11-1</f>
        <v>0.16401444800662546</v>
      </c>
      <c r="F12" s="20">
        <f>Empresas!F12/Empresas!F11-1</f>
        <v>5.4192130362492152E-2</v>
      </c>
      <c r="G12" s="20">
        <f>Empresas!G12/Empresas!G11-1</f>
        <v>0.16605346552042399</v>
      </c>
      <c r="H12" s="20">
        <f>Empresas!H12/Empresas!H11-1</f>
        <v>-3.3364052151802159E-2</v>
      </c>
      <c r="I12" s="20">
        <f>Empresas!I12/Empresas!I11-1</f>
        <v>-0.16212306055773296</v>
      </c>
      <c r="J12" s="20">
        <f>Empresas!J12/Empresas!J11-1</f>
        <v>2.1132883128324842E-2</v>
      </c>
      <c r="K12" s="20">
        <f>Empresas!K12/Empresas!K11-1</f>
        <v>0.22596692755502401</v>
      </c>
      <c r="L12" s="20">
        <f>Empresas!L12/Empresas!L11-1</f>
        <v>-3.2481844765179124E-2</v>
      </c>
      <c r="M12" s="20">
        <f>Empresas!M12/Empresas!M11-1</f>
        <v>-0.24457331703973462</v>
      </c>
      <c r="N12" s="20">
        <f>Empresas!N12/Empresas!N11-1</f>
        <v>-7.8727035441193749E-2</v>
      </c>
      <c r="O12" s="20">
        <f>Empresas!O12/Empresas!O11-1</f>
        <v>7.7947252409991563E-2</v>
      </c>
      <c r="P12" s="20">
        <f>Empresas!P12/Empresas!P11-1</f>
        <v>4.1262821489925106E-2</v>
      </c>
      <c r="Q12" s="20">
        <f>Empresas!Q12/Empresas!Q11-1</f>
        <v>0.58757213993411428</v>
      </c>
      <c r="R12" s="20">
        <f>Empresas!R12/Empresas!R11-1</f>
        <v>0.1360623234769156</v>
      </c>
      <c r="S12" s="20">
        <f>Empresas!S12/Empresas!S11-1</f>
        <v>2.7527164755924316E-2</v>
      </c>
      <c r="T12" s="20">
        <f>Empresas!T12/Empresas!T11-1</f>
        <v>-5.6711515601131524E-2</v>
      </c>
      <c r="U12" s="20">
        <f>Empresas!U12/Empresas!U11-1</f>
        <v>4.5980174890075665E-2</v>
      </c>
      <c r="V12" s="20">
        <f>Empresas!V12/Empresas!V11-1</f>
        <v>0.11356183071024728</v>
      </c>
      <c r="W12" s="20">
        <f>Empresas!W12/Empresas!W11-1</f>
        <v>6.7879076387578952E-2</v>
      </c>
      <c r="X12" s="20">
        <f>Empresas!X12/Empresas!X11-1</f>
        <v>1.3118840136517651E-2</v>
      </c>
      <c r="Y12" s="20">
        <f>Empresas!Y12/Empresas!Y11-1</f>
        <v>2.46078703637993E-2</v>
      </c>
      <c r="Z12" s="20">
        <f>Empresas!Z12/Empresas!Z11-1</f>
        <v>8.1701725840653161E-2</v>
      </c>
      <c r="AA12" s="20">
        <f>Empresas!AA12/Empresas!AA11-1</f>
        <v>6.9490497797865647E-2</v>
      </c>
      <c r="AB12" s="21">
        <f>Empresas!AB12/Empresas!AB11-1</f>
        <v>1.4682624937050193E-3</v>
      </c>
      <c r="AC12" s="20">
        <f>Empresas!AC12/Empresas!AC11-1</f>
        <v>-2.5295996993044301E-2</v>
      </c>
      <c r="AD12" s="20">
        <f>Empresas!AD12/Empresas!AD11-1</f>
        <v>5.5556302566210025E-2</v>
      </c>
      <c r="AE12" s="20">
        <f>Empresas!AE12/Empresas!AE11-1</f>
        <v>2.5131762654770906E-2</v>
      </c>
      <c r="AF12" s="20">
        <f>Empresas!AF12/Empresas!AF11-1</f>
        <v>4.1951854085221507E-2</v>
      </c>
      <c r="AG12" s="19">
        <f>Empresas!AG12/Empresas!AG11-1</f>
        <v>3.7172193698517875E-2</v>
      </c>
      <c r="AH12" s="20">
        <f>Empresas!AH12/Empresas!AH11-1</f>
        <v>-1.6703347761619081E-2</v>
      </c>
      <c r="AI12" s="21">
        <f>Empresas!AI12/Empresas!AI11-1</f>
        <v>-1.5389453608493975E-2</v>
      </c>
      <c r="AJ12" s="21">
        <f>Empresas!AJ12/Empresas!AJ11-1</f>
        <v>3.5674148914599968E-2</v>
      </c>
    </row>
    <row r="13" spans="1:36" x14ac:dyDescent="0.35">
      <c r="A13" s="32">
        <v>45536</v>
      </c>
      <c r="B13" s="19">
        <f>Empresas!B13/Empresas!B12-1</f>
        <v>-0.12372261646728278</v>
      </c>
      <c r="C13" s="20">
        <f>Empresas!C13/Empresas!C12-1</f>
        <v>-0.14598464909597098</v>
      </c>
      <c r="D13" s="20">
        <f>Empresas!D13/Empresas!D12-1</f>
        <v>-1.6808294932448176E-2</v>
      </c>
      <c r="E13" s="20">
        <f>Empresas!E13/Empresas!E12-1</f>
        <v>-0.14023747461487068</v>
      </c>
      <c r="F13" s="20">
        <f>Empresas!F13/Empresas!F12-1</f>
        <v>-0.10981163134457816</v>
      </c>
      <c r="G13" s="20">
        <f>Empresas!G13/Empresas!G12-1</f>
        <v>-0.19302280866027832</v>
      </c>
      <c r="H13" s="20">
        <f>Empresas!H13/Empresas!H12-1</f>
        <v>-0.17018045952366467</v>
      </c>
      <c r="I13" s="20">
        <f>Empresas!I13/Empresas!I12-1</f>
        <v>-0.11679956241153355</v>
      </c>
      <c r="J13" s="20">
        <f>Empresas!J13/Empresas!J12-1</f>
        <v>-0.12102181115220101</v>
      </c>
      <c r="K13" s="20">
        <f>Empresas!K13/Empresas!K12-1</f>
        <v>-0.15073340941618651</v>
      </c>
      <c r="L13" s="20">
        <f>Empresas!L13/Empresas!L12-1</f>
        <v>-9.7393772764940434E-2</v>
      </c>
      <c r="M13" s="20">
        <f>Empresas!M13/Empresas!M12-1</f>
        <v>-7.6800450830758371E-2</v>
      </c>
      <c r="N13" s="20">
        <f>Empresas!N13/Empresas!N12-1</f>
        <v>-7.4595274153338886E-2</v>
      </c>
      <c r="O13" s="20">
        <f>Empresas!O13/Empresas!O12-1</f>
        <v>-4.1219347596229139E-2</v>
      </c>
      <c r="P13" s="20">
        <f>Empresas!P13/Empresas!P12-1</f>
        <v>-0.13780149633047045</v>
      </c>
      <c r="Q13" s="20">
        <f>Empresas!Q13/Empresas!Q12-1</f>
        <v>-0.3921765831441586</v>
      </c>
      <c r="R13" s="20">
        <f>Empresas!R13/Empresas!R12-1</f>
        <v>-0.12761151129257231</v>
      </c>
      <c r="S13" s="20">
        <f>Empresas!S13/Empresas!S12-1</f>
        <v>-7.2711351914334199E-2</v>
      </c>
      <c r="T13" s="20">
        <f>Empresas!T13/Empresas!T12-1</f>
        <v>-0.12206359023235747</v>
      </c>
      <c r="U13" s="20">
        <f>Empresas!U13/Empresas!U12-1</f>
        <v>-8.0917552156048567E-2</v>
      </c>
      <c r="V13" s="20">
        <f>Empresas!V13/Empresas!V12-1</f>
        <v>-0.12512070632129524</v>
      </c>
      <c r="W13" s="20">
        <f>Empresas!W13/Empresas!W12-1</f>
        <v>-0.10334605321636459</v>
      </c>
      <c r="X13" s="20">
        <f>Empresas!X13/Empresas!X12-1</f>
        <v>-0.12878446263428178</v>
      </c>
      <c r="Y13" s="20">
        <f>Empresas!Y13/Empresas!Y12-1</f>
        <v>-7.3160414651003536E-2</v>
      </c>
      <c r="Z13" s="20">
        <f>Empresas!Z13/Empresas!Z12-1</f>
        <v>-8.1320414355037673E-2</v>
      </c>
      <c r="AA13" s="20">
        <f>Empresas!AA13/Empresas!AA12-1</f>
        <v>-0.11890508519262877</v>
      </c>
      <c r="AB13" s="21">
        <f>Empresas!AB13/Empresas!AB12-1</f>
        <v>-8.2482619536632829E-2</v>
      </c>
      <c r="AC13" s="20">
        <f>Empresas!AC13/Empresas!AC12-1</f>
        <v>-0.12983958044115418</v>
      </c>
      <c r="AD13" s="20">
        <f>Empresas!AD13/Empresas!AD12-1</f>
        <v>-0.11220219802617637</v>
      </c>
      <c r="AE13" s="20">
        <f>Empresas!AE13/Empresas!AE12-1</f>
        <v>-0.12695095892321251</v>
      </c>
      <c r="AF13" s="20">
        <f>Empresas!AF13/Empresas!AF12-1</f>
        <v>-0.11382399300841006</v>
      </c>
      <c r="AG13" s="19">
        <f>Empresas!AG13/Empresas!AG12-1</f>
        <v>-0.12494487445236635</v>
      </c>
      <c r="AH13" s="20">
        <f>Empresas!AH13/Empresas!AH12-1</f>
        <v>0.10728653204275362</v>
      </c>
      <c r="AI13" s="21">
        <f>Empresas!AI13/Empresas!AI12-1</f>
        <v>1.4769714976299086E-2</v>
      </c>
      <c r="AJ13" s="21">
        <f>Empresas!AJ13/Empresas!AJ12-1</f>
        <v>-0.11953996996570893</v>
      </c>
    </row>
    <row r="14" spans="1:36" x14ac:dyDescent="0.35">
      <c r="A14" s="32">
        <v>45566</v>
      </c>
      <c r="B14" s="19">
        <f>Empresas!B14/Empresas!B13-1</f>
        <v>-3.5483244452061302E-2</v>
      </c>
      <c r="C14" s="20">
        <f>Empresas!C14/Empresas!C13-1</f>
        <v>3.1230970331006747E-2</v>
      </c>
      <c r="D14" s="20">
        <f>Empresas!D14/Empresas!D13-1</f>
        <v>-0.10226605458708871</v>
      </c>
      <c r="E14" s="20">
        <f>Empresas!E14/Empresas!E13-1</f>
        <v>-8.6796700261906334E-3</v>
      </c>
      <c r="F14" s="20">
        <f>Empresas!F14/Empresas!F13-1</f>
        <v>9.2180703189603808E-3</v>
      </c>
      <c r="G14" s="20">
        <f>Empresas!G14/Empresas!G13-1</f>
        <v>-4.778441592554028E-2</v>
      </c>
      <c r="H14" s="20">
        <f>Empresas!H14/Empresas!H13-1</f>
        <v>-4.213069702797223E-2</v>
      </c>
      <c r="I14" s="20">
        <f>Empresas!I14/Empresas!I13-1</f>
        <v>0.11183568283449663</v>
      </c>
      <c r="J14" s="20">
        <f>Empresas!J14/Empresas!J13-1</f>
        <v>3.0174739781630766E-2</v>
      </c>
      <c r="K14" s="20">
        <f>Empresas!K14/Empresas!K13-1</f>
        <v>-1.7420812791635987E-2</v>
      </c>
      <c r="L14" s="20">
        <f>Empresas!L14/Empresas!L13-1</f>
        <v>3.1236761533241175E-2</v>
      </c>
      <c r="M14" s="20">
        <f>Empresas!M14/Empresas!M13-1</f>
        <v>-1.0855230794374227E-2</v>
      </c>
      <c r="N14" s="20">
        <f>Empresas!N14/Empresas!N13-1</f>
        <v>3.0754591693639588E-2</v>
      </c>
      <c r="O14" s="20">
        <f>Empresas!O14/Empresas!O13-1</f>
        <v>-5.2689352206635509E-2</v>
      </c>
      <c r="P14" s="20">
        <f>Empresas!P14/Empresas!P13-1</f>
        <v>1.2156188824313574E-2</v>
      </c>
      <c r="Q14" s="20">
        <f>Empresas!Q14/Empresas!Q13-1</f>
        <v>-2.893671521709662E-2</v>
      </c>
      <c r="R14" s="20">
        <f>Empresas!R14/Empresas!R13-1</f>
        <v>-2.5629513038137541E-2</v>
      </c>
      <c r="S14" s="20">
        <f>Empresas!S14/Empresas!S13-1</f>
        <v>2.8235003766082345E-2</v>
      </c>
      <c r="T14" s="20">
        <f>Empresas!T14/Empresas!T13-1</f>
        <v>-5.3361221531488701E-2</v>
      </c>
      <c r="U14" s="20">
        <f>Empresas!U14/Empresas!U13-1</f>
        <v>5.0014667095136245E-2</v>
      </c>
      <c r="V14" s="20">
        <f>Empresas!V14/Empresas!V13-1</f>
        <v>3.4602328110084901E-3</v>
      </c>
      <c r="W14" s="20">
        <f>Empresas!W14/Empresas!W13-1</f>
        <v>-1.8524960719758954E-2</v>
      </c>
      <c r="X14" s="20">
        <f>Empresas!X14/Empresas!X13-1</f>
        <v>5.6799078850085616E-2</v>
      </c>
      <c r="Y14" s="20">
        <f>Empresas!Y14/Empresas!Y13-1</f>
        <v>7.1485123873259671E-2</v>
      </c>
      <c r="Z14" s="20">
        <f>Empresas!Z14/Empresas!Z13-1</f>
        <v>9.3557767936236491E-3</v>
      </c>
      <c r="AA14" s="20">
        <f>Empresas!AA14/Empresas!AA13-1</f>
        <v>4.2502475098992187E-2</v>
      </c>
      <c r="AB14" s="21">
        <f>Empresas!AB14/Empresas!AB13-1</f>
        <v>-1.0692809898023237E-2</v>
      </c>
      <c r="AC14" s="20">
        <f>Empresas!AC14/Empresas!AC13-1</f>
        <v>4.5158431198754068E-2</v>
      </c>
      <c r="AD14" s="20">
        <f>Empresas!AD14/Empresas!AD13-1</f>
        <v>1.4651521918103372E-2</v>
      </c>
      <c r="AE14" s="20">
        <f>Empresas!AE14/Empresas!AE13-1</f>
        <v>3.3979941850107442E-2</v>
      </c>
      <c r="AF14" s="20">
        <f>Empresas!AF14/Empresas!AF13-1</f>
        <v>1.3269699824771886E-2</v>
      </c>
      <c r="AG14" s="19">
        <f>Empresas!AG14/Empresas!AG13-1</f>
        <v>2.6605020526602852E-2</v>
      </c>
      <c r="AH14" s="20">
        <f>Empresas!AH14/Empresas!AH13-1</f>
        <v>-0.10866196090251867</v>
      </c>
      <c r="AI14" s="21">
        <f>Empresas!AI14/Empresas!AI13-1</f>
        <v>-3.373166568900543E-2</v>
      </c>
      <c r="AJ14" s="21">
        <f>Empresas!AJ14/Empresas!AJ13-1</f>
        <v>2.2920914871575881E-2</v>
      </c>
    </row>
    <row r="15" spans="1:36" x14ac:dyDescent="0.35">
      <c r="A15" s="32">
        <v>45597</v>
      </c>
      <c r="B15" s="19">
        <f>Empresas!B15/Empresas!B14-1</f>
        <v>-9.3517214198741261E-2</v>
      </c>
      <c r="C15" s="20">
        <f>Empresas!C15/Empresas!C14-1</f>
        <v>-6.1393494851435526E-2</v>
      </c>
      <c r="D15" s="20">
        <f>Empresas!D15/Empresas!D14-1</f>
        <v>-7.682244452436704E-3</v>
      </c>
      <c r="E15" s="20">
        <f>Empresas!E15/Empresas!E14-1</f>
        <v>-5.6879240518855623E-2</v>
      </c>
      <c r="F15" s="20">
        <f>Empresas!F15/Empresas!F14-1</f>
        <v>-5.9043179506278243E-2</v>
      </c>
      <c r="G15" s="20">
        <f>Empresas!G15/Empresas!G14-1</f>
        <v>-1.7450616029806909E-2</v>
      </c>
      <c r="H15" s="20">
        <f>Empresas!H15/Empresas!H14-1</f>
        <v>3.1720019530800947E-3</v>
      </c>
      <c r="I15" s="20">
        <f>Empresas!I15/Empresas!I14-1</f>
        <v>-7.41520587221004E-2</v>
      </c>
      <c r="J15" s="20">
        <f>Empresas!J15/Empresas!J14-1</f>
        <v>-5.9158251827734598E-2</v>
      </c>
      <c r="K15" s="20">
        <f>Empresas!K15/Empresas!K14-1</f>
        <v>-8.3620053445963238E-2</v>
      </c>
      <c r="L15" s="20">
        <f>Empresas!L15/Empresas!L14-1</f>
        <v>-7.4742757435922624E-2</v>
      </c>
      <c r="M15" s="20">
        <f>Empresas!M15/Empresas!M14-1</f>
        <v>-5.3438942110442089E-2</v>
      </c>
      <c r="N15" s="20">
        <f>Empresas!N15/Empresas!N14-1</f>
        <v>-6.479084575988292E-2</v>
      </c>
      <c r="O15" s="20">
        <f>Empresas!O15/Empresas!O14-1</f>
        <v>-4.6329750917310064E-2</v>
      </c>
      <c r="P15" s="20">
        <f>Empresas!P15/Empresas!P14-1</f>
        <v>-2.933415772489667E-2</v>
      </c>
      <c r="Q15" s="20">
        <f>Empresas!Q15/Empresas!Q14-1</f>
        <v>-5.2852208116884847E-2</v>
      </c>
      <c r="R15" s="20">
        <f>Empresas!R15/Empresas!R14-1</f>
        <v>-3.6478256636410356E-2</v>
      </c>
      <c r="S15" s="20">
        <f>Empresas!S15/Empresas!S14-1</f>
        <v>-8.6151898992503972E-2</v>
      </c>
      <c r="T15" s="20">
        <f>Empresas!T15/Empresas!T14-1</f>
        <v>-5.5333176041694743E-2</v>
      </c>
      <c r="U15" s="20">
        <f>Empresas!U15/Empresas!U14-1</f>
        <v>-0.1169048909905881</v>
      </c>
      <c r="V15" s="20">
        <f>Empresas!V15/Empresas!V14-1</f>
        <v>-7.7473729283482728E-2</v>
      </c>
      <c r="W15" s="20">
        <f>Empresas!W15/Empresas!W14-1</f>
        <v>-6.9620482885554669E-2</v>
      </c>
      <c r="X15" s="20">
        <f>Empresas!X15/Empresas!X14-1</f>
        <v>-6.4948317218514351E-2</v>
      </c>
      <c r="Y15" s="20">
        <f>Empresas!Y15/Empresas!Y14-1</f>
        <v>-0.11048392639735694</v>
      </c>
      <c r="Z15" s="20">
        <f>Empresas!Z15/Empresas!Z14-1</f>
        <v>-9.8979215025178702E-2</v>
      </c>
      <c r="AA15" s="20">
        <f>Empresas!AA15/Empresas!AA14-1</f>
        <v>-5.5346457833880813E-2</v>
      </c>
      <c r="AB15" s="21">
        <f>Empresas!AB15/Empresas!AB14-1</f>
        <v>-4.7893168275012554E-2</v>
      </c>
      <c r="AC15" s="20">
        <f>Empresas!AC15/Empresas!AC14-1</f>
        <v>2.6204206241526862E-2</v>
      </c>
      <c r="AD15" s="20">
        <f>Empresas!AD15/Empresas!AD14-1</f>
        <v>-9.1850767691553314E-2</v>
      </c>
      <c r="AE15" s="20">
        <f>Empresas!AE15/Empresas!AE14-1</f>
        <v>-7.8955917050815616E-2</v>
      </c>
      <c r="AF15" s="20">
        <f>Empresas!AF15/Empresas!AF14-1</f>
        <v>-4.0275532845532869E-2</v>
      </c>
      <c r="AG15" s="19">
        <f>Empresas!AG15/Empresas!AG14-1</f>
        <v>-6.5662081373841219E-2</v>
      </c>
      <c r="AH15" s="20">
        <f>Empresas!AH15/Empresas!AH14-1</f>
        <v>-2.8697517920973414E-2</v>
      </c>
      <c r="AI15" s="21">
        <f>Empresas!AI15/Empresas!AI14-1</f>
        <v>-3.137622189099476E-2</v>
      </c>
      <c r="AJ15" s="21">
        <f>Empresas!AJ15/Empresas!AJ14-1</f>
        <v>-6.4610647387132847E-2</v>
      </c>
    </row>
    <row r="16" spans="1:36" ht="15" thickBot="1" x14ac:dyDescent="0.4">
      <c r="A16" s="33">
        <v>45627</v>
      </c>
      <c r="B16" s="22">
        <f>Empresas!B16/Empresas!B15-1</f>
        <v>-0.1388885658860749</v>
      </c>
      <c r="C16" s="23">
        <f>Empresas!C16/Empresas!C15-1</f>
        <v>-0.12051632002448143</v>
      </c>
      <c r="D16" s="23">
        <f>Empresas!D16/Empresas!D15-1</f>
        <v>-9.8744517912193519E-2</v>
      </c>
      <c r="E16" s="23">
        <f>Empresas!E16/Empresas!E15-1</f>
        <v>-0.10794655206294224</v>
      </c>
      <c r="F16" s="23">
        <f>Empresas!F16/Empresas!F15-1</f>
        <v>-9.2166067694081977E-2</v>
      </c>
      <c r="G16" s="23">
        <f>Empresas!G16/Empresas!G15-1</f>
        <v>-0.1446651696236575</v>
      </c>
      <c r="H16" s="23">
        <f>Empresas!H16/Empresas!H15-1</f>
        <v>-7.1760171773249226E-2</v>
      </c>
      <c r="I16" s="23">
        <f>Empresas!I16/Empresas!I15-1</f>
        <v>-0.17718145921680262</v>
      </c>
      <c r="J16" s="23">
        <f>Empresas!J16/Empresas!J15-1</f>
        <v>-0.10406529661804997</v>
      </c>
      <c r="K16" s="23">
        <f>Empresas!K16/Empresas!K15-1</f>
        <v>-0.11576172421981934</v>
      </c>
      <c r="L16" s="23">
        <f>Empresas!L16/Empresas!L15-1</f>
        <v>-0.13484780684799214</v>
      </c>
      <c r="M16" s="23">
        <f>Empresas!M16/Empresas!M15-1</f>
        <v>-8.1044206651951889E-2</v>
      </c>
      <c r="N16" s="23">
        <f>Empresas!N16/Empresas!N15-1</f>
        <v>-9.6916466016138347E-2</v>
      </c>
      <c r="O16" s="23">
        <f>Empresas!O16/Empresas!O15-1</f>
        <v>-0.11882494295895829</v>
      </c>
      <c r="P16" s="23">
        <f>Empresas!P16/Empresas!P15-1</f>
        <v>-0.15156028693265855</v>
      </c>
      <c r="Q16" s="23">
        <f>Empresas!Q16/Empresas!Q15-1</f>
        <v>-0.11409864538578074</v>
      </c>
      <c r="R16" s="23">
        <f>Empresas!R16/Empresas!R15-1</f>
        <v>-0.12246767731323394</v>
      </c>
      <c r="S16" s="23">
        <f>Empresas!S16/Empresas!S15-1</f>
        <v>-0.12086200543080095</v>
      </c>
      <c r="T16" s="23">
        <f>Empresas!T16/Empresas!T15-1</f>
        <v>-9.0565314287436194E-2</v>
      </c>
      <c r="U16" s="23">
        <f>Empresas!U16/Empresas!U15-1</f>
        <v>-5.7816193417520867E-2</v>
      </c>
      <c r="V16" s="23">
        <f>Empresas!V16/Empresas!V15-1</f>
        <v>-9.7905856930885604E-2</v>
      </c>
      <c r="W16" s="23">
        <f>Empresas!W16/Empresas!W15-1</f>
        <v>-8.562936330407922E-2</v>
      </c>
      <c r="X16" s="23">
        <f>Empresas!X16/Empresas!X15-1</f>
        <v>-0.10581767596953329</v>
      </c>
      <c r="Y16" s="23">
        <f>Empresas!Y16/Empresas!Y15-1</f>
        <v>-0.10384105880897621</v>
      </c>
      <c r="Z16" s="23">
        <f>Empresas!Z16/Empresas!Z15-1</f>
        <v>-8.2267720346474116E-2</v>
      </c>
      <c r="AA16" s="23">
        <f>Empresas!AA16/Empresas!AA15-1</f>
        <v>-0.16163329495582968</v>
      </c>
      <c r="AB16" s="24">
        <f>Empresas!AB16/Empresas!AB15-1</f>
        <v>-9.1081830225151816E-2</v>
      </c>
      <c r="AC16" s="23">
        <f>Empresas!AC16/Empresas!AC15-1</f>
        <v>-0.22485744979753641</v>
      </c>
      <c r="AD16" s="23">
        <f>Empresas!AD16/Empresas!AD15-1</f>
        <v>-9.7716832762380301E-2</v>
      </c>
      <c r="AE16" s="23">
        <f>Empresas!AE16/Empresas!AE15-1</f>
        <v>-0.13523266803956302</v>
      </c>
      <c r="AF16" s="23">
        <f>Empresas!AF16/Empresas!AF15-1</f>
        <v>-0.12377610030243069</v>
      </c>
      <c r="AG16" s="22">
        <f>Empresas!AG16/Empresas!AG15-1</f>
        <v>-0.12949299823188065</v>
      </c>
      <c r="AH16" s="23">
        <f>Empresas!AH16/Empresas!AH15-1</f>
        <v>-2.4698122597939021E-2</v>
      </c>
      <c r="AI16" s="24">
        <f>Empresas!AI16/Empresas!AI15-1</f>
        <v>-9.9684798140847741E-3</v>
      </c>
      <c r="AJ16" s="24">
        <f>Empresas!AJ16/Empresas!AJ15-1</f>
        <v>-0.12618919657360061</v>
      </c>
    </row>
    <row r="17" spans="1:36" x14ac:dyDescent="0.35">
      <c r="A17" s="31">
        <v>45659</v>
      </c>
      <c r="B17" s="25">
        <f>Empresas!B17/Empresas!B16-1</f>
        <v>0.1790595228945433</v>
      </c>
      <c r="C17" s="26">
        <f>Empresas!C17/Empresas!C16-1</f>
        <v>0.17229060247446792</v>
      </c>
      <c r="D17" s="26">
        <f>Empresas!D17/Empresas!D16-1</f>
        <v>0.16199599265390963</v>
      </c>
      <c r="E17" s="26">
        <f>Empresas!E17/Empresas!E16-1</f>
        <v>0.24591660091323497</v>
      </c>
      <c r="F17" s="26">
        <f>Empresas!F17/Empresas!F16-1</f>
        <v>0.14651274150475735</v>
      </c>
      <c r="G17" s="26">
        <f>Empresas!G17/Empresas!G16-1</f>
        <v>0.3144524126958832</v>
      </c>
      <c r="H17" s="26">
        <f>Empresas!H17/Empresas!H16-1</f>
        <v>8.5141137777020592E-2</v>
      </c>
      <c r="I17" s="26">
        <f>Empresas!I17/Empresas!I16-1</f>
        <v>0.20294648911898561</v>
      </c>
      <c r="J17" s="26">
        <f>Empresas!J17/Empresas!J16-1</f>
        <v>0.22465268093264745</v>
      </c>
      <c r="K17" s="26">
        <f>Empresas!K17/Empresas!K16-1</f>
        <v>0.26540077277284446</v>
      </c>
      <c r="L17" s="26">
        <f>Empresas!L17/Empresas!L16-1</f>
        <v>0.23224112645587014</v>
      </c>
      <c r="M17" s="26">
        <f>Empresas!M17/Empresas!M16-1</f>
        <v>0.25508685664243269</v>
      </c>
      <c r="N17" s="26">
        <f>Empresas!N17/Empresas!N16-1</f>
        <v>0.27877382417443997</v>
      </c>
      <c r="O17" s="26">
        <f>Empresas!O17/Empresas!O16-1</f>
        <v>0.26392941209028287</v>
      </c>
      <c r="P17" s="26">
        <f>Empresas!P17/Empresas!P16-1</f>
        <v>0.25854677871263476</v>
      </c>
      <c r="Q17" s="26">
        <f>Empresas!Q17/Empresas!Q16-1</f>
        <v>0.16032055567045167</v>
      </c>
      <c r="R17" s="26">
        <f>Empresas!R17/Empresas!R16-1</f>
        <v>0.19621512692952514</v>
      </c>
      <c r="S17" s="26">
        <f>Empresas!S17/Empresas!S16-1</f>
        <v>0.25547070816889761</v>
      </c>
      <c r="T17" s="26">
        <f>Empresas!T17/Empresas!T16-1</f>
        <v>0.13049909402767024</v>
      </c>
      <c r="U17" s="26">
        <f>Empresas!U17/Empresas!U16-1</f>
        <v>0.23982560304360301</v>
      </c>
      <c r="V17" s="26">
        <f>Empresas!V17/Empresas!V16-1</f>
        <v>0.17963929336380535</v>
      </c>
      <c r="W17" s="26">
        <f>Empresas!W17/Empresas!W16-1</f>
        <v>0.19495733778889646</v>
      </c>
      <c r="X17" s="26">
        <f>Empresas!X17/Empresas!X16-1</f>
        <v>0.20808084530958793</v>
      </c>
      <c r="Y17" s="26">
        <f>Empresas!Y17/Empresas!Y16-1</f>
        <v>0.22347896843226089</v>
      </c>
      <c r="Z17" s="26">
        <f>Empresas!Z17/Empresas!Z16-1</f>
        <v>0.19941327700448985</v>
      </c>
      <c r="AA17" s="26">
        <f>Empresas!AA17/Empresas!AA16-1</f>
        <v>0.2213972078595976</v>
      </c>
      <c r="AB17" s="27">
        <f>Empresas!AB17/Empresas!AB16-1</f>
        <v>0.22487686833933473</v>
      </c>
      <c r="AC17" s="26">
        <f>Empresas!AC17/Empresas!AC16-1</f>
        <v>0.18136993603411367</v>
      </c>
      <c r="AD17" s="20">
        <f>Empresas!AD17/Empresas!AD16-1</f>
        <v>0.20982317169193698</v>
      </c>
      <c r="AE17" s="26">
        <f>Empresas!AE17/Empresas!AE16-1</f>
        <v>0.22740559355388101</v>
      </c>
      <c r="AF17" s="26">
        <f>Empresas!AF17/Empresas!AF16-1</f>
        <v>0.20585583452101419</v>
      </c>
      <c r="AG17" s="25">
        <f>Empresas!AG17/Empresas!AG16-1</f>
        <v>0.22222477497645632</v>
      </c>
      <c r="AH17" s="26">
        <f>Empresas!AH17/Empresas!AH16-1</f>
        <v>2.3586068448524955E-2</v>
      </c>
      <c r="AI17" s="27">
        <f>Empresas!AI17/Empresas!AI16-1</f>
        <v>1.5601839549080232E-2</v>
      </c>
      <c r="AJ17" s="27">
        <f>Empresas!AJ17/Empresas!AJ16-1</f>
        <v>0.21541251606780398</v>
      </c>
    </row>
    <row r="18" spans="1:36" x14ac:dyDescent="0.35">
      <c r="A18" s="32">
        <v>45689</v>
      </c>
      <c r="B18" s="19">
        <f>Empresas!B18/Empresas!B17-1</f>
        <v>3.2025332835183162E-2</v>
      </c>
      <c r="C18" s="20">
        <f>Empresas!C18/Empresas!C17-1</f>
        <v>-3.9856276828526993E-2</v>
      </c>
      <c r="D18" s="20">
        <f>Empresas!D18/Empresas!D17-1</f>
        <v>-1.7566229983685955E-2</v>
      </c>
      <c r="E18" s="20">
        <f>Empresas!E18/Empresas!E17-1</f>
        <v>-7.5854764325363311E-2</v>
      </c>
      <c r="F18" s="20">
        <f>Empresas!F18/Empresas!F17-1</f>
        <v>-2.5381123955433238E-2</v>
      </c>
      <c r="G18" s="20">
        <f>Empresas!G18/Empresas!G17-1</f>
        <v>-6.3348044871977316E-2</v>
      </c>
      <c r="H18" s="20">
        <f>Empresas!H18/Empresas!H17-1</f>
        <v>-2.0399608291565841E-2</v>
      </c>
      <c r="I18" s="20">
        <f>Empresas!I18/Empresas!I17-1</f>
        <v>-2.2451905862067356E-2</v>
      </c>
      <c r="J18" s="20">
        <f>Empresas!J18/Empresas!J17-1</f>
        <v>-4.050684294820639E-2</v>
      </c>
      <c r="K18" s="20">
        <f>Empresas!K18/Empresas!K17-1</f>
        <v>-5.0287577234724323E-2</v>
      </c>
      <c r="L18" s="20">
        <f>Empresas!L18/Empresas!L17-1</f>
        <v>-1.778607154123879E-2</v>
      </c>
      <c r="M18" s="20">
        <f>Empresas!M18/Empresas!M17-1</f>
        <v>-4.1281940444770959E-2</v>
      </c>
      <c r="N18" s="20">
        <f>Empresas!N18/Empresas!N17-1</f>
        <v>-6.9819667824585596E-2</v>
      </c>
      <c r="O18" s="20">
        <f>Empresas!O18/Empresas!O17-1</f>
        <v>-9.3532415732447971E-3</v>
      </c>
      <c r="P18" s="20">
        <f>Empresas!P18/Empresas!P17-1</f>
        <v>-3.693138233886728E-2</v>
      </c>
      <c r="Q18" s="20">
        <f>Empresas!Q18/Empresas!Q17-1</f>
        <v>-4.6494397920273434E-2</v>
      </c>
      <c r="R18" s="20">
        <f>Empresas!R18/Empresas!R17-1</f>
        <v>3.1688485053806836E-3</v>
      </c>
      <c r="S18" s="20">
        <f>Empresas!S18/Empresas!S17-1</f>
        <v>-3.1893675681721301E-2</v>
      </c>
      <c r="T18" s="20">
        <f>Empresas!T18/Empresas!T17-1</f>
        <v>-3.119446538472781E-2</v>
      </c>
      <c r="U18" s="20">
        <f>Empresas!U18/Empresas!U17-1</f>
        <v>-7.1402931029362016E-2</v>
      </c>
      <c r="V18" s="20">
        <f>Empresas!V18/Empresas!V17-1</f>
        <v>7.9788275284429222E-3</v>
      </c>
      <c r="W18" s="20">
        <f>Empresas!W18/Empresas!W17-1</f>
        <v>5.6076491835110875E-3</v>
      </c>
      <c r="X18" s="20">
        <f>Empresas!X18/Empresas!X17-1</f>
        <v>-6.0607734894375764E-2</v>
      </c>
      <c r="Y18" s="20">
        <f>Empresas!Y18/Empresas!Y17-1</f>
        <v>0.12738957778852811</v>
      </c>
      <c r="Z18" s="20">
        <f>Empresas!Z18/Empresas!Z17-1</f>
        <v>-1.6549156013826338E-2</v>
      </c>
      <c r="AA18" s="20">
        <f>Empresas!AA18/Empresas!AA17-1</f>
        <v>1.3347568572106505E-2</v>
      </c>
      <c r="AB18" s="21">
        <f>Empresas!AB18/Empresas!AB17-1</f>
        <v>-3.672047522324029E-2</v>
      </c>
      <c r="AC18" s="20">
        <f>Empresas!AC18/Empresas!AC17-1</f>
        <v>-5.4145516074523004E-3</v>
      </c>
      <c r="AD18" s="20">
        <f>Empresas!AD18/Empresas!AD17-1</f>
        <v>5.1371023247979153E-3</v>
      </c>
      <c r="AE18" s="20">
        <f>Empresas!AE18/Empresas!AE17-1</f>
        <v>-8.5872156635365959E-3</v>
      </c>
      <c r="AF18" s="20">
        <f>Empresas!AF18/Empresas!AF17-1</f>
        <v>-1.8193478170822841E-2</v>
      </c>
      <c r="AG18" s="19">
        <f>Empresas!AG18/Empresas!AG17-1</f>
        <v>-1.0937039507287749E-2</v>
      </c>
      <c r="AH18" s="20">
        <f>Empresas!AH18/Empresas!AH17-1</f>
        <v>1.9247385642729542E-2</v>
      </c>
      <c r="AI18" s="21">
        <f>Empresas!AI18/Empresas!AI17-1</f>
        <v>8.5560349780562373E-3</v>
      </c>
      <c r="AJ18" s="21">
        <f>Empresas!AJ18/Empresas!AJ17-1</f>
        <v>-1.0174025363821282E-2</v>
      </c>
    </row>
    <row r="19" spans="1:36" x14ac:dyDescent="0.35">
      <c r="A19" s="32">
        <v>45717</v>
      </c>
      <c r="B19" s="19">
        <f>Empresas!B19/Empresas!B18-1</f>
        <v>1.25251950313785E-2</v>
      </c>
      <c r="C19" s="20">
        <f>Empresas!C19/Empresas!C18-1</f>
        <v>-4.2006965795012841E-3</v>
      </c>
      <c r="D19" s="20">
        <f>Empresas!D19/Empresas!D18-1</f>
        <v>-9.1838201203739978E-3</v>
      </c>
      <c r="E19" s="20">
        <f>Empresas!E19/Empresas!E18-1</f>
        <v>-2.5148123415522639E-3</v>
      </c>
      <c r="F19" s="20">
        <f>Empresas!F19/Empresas!F18-1</f>
        <v>4.4060449360661114E-3</v>
      </c>
      <c r="G19" s="20">
        <f>Empresas!G19/Empresas!G18-1</f>
        <v>-8.7918256160031016E-2</v>
      </c>
      <c r="H19" s="20">
        <f>Empresas!H19/Empresas!H18-1</f>
        <v>1.046777343911498E-2</v>
      </c>
      <c r="I19" s="20">
        <f>Empresas!I19/Empresas!I18-1</f>
        <v>-4.021831707768464E-2</v>
      </c>
      <c r="J19" s="20">
        <f>Empresas!J19/Empresas!J18-1</f>
        <v>-2.7536920067548265E-2</v>
      </c>
      <c r="K19" s="20">
        <f>Empresas!K19/Empresas!K18-1</f>
        <v>-3.5466497305677525E-2</v>
      </c>
      <c r="L19" s="20">
        <f>Empresas!L19/Empresas!L18-1</f>
        <v>-1.765490837249839E-2</v>
      </c>
      <c r="M19" s="20">
        <f>Empresas!M19/Empresas!M18-1</f>
        <v>1.5149322757811445E-2</v>
      </c>
      <c r="N19" s="20">
        <f>Empresas!N19/Empresas!N18-1</f>
        <v>4.0661762044779115E-2</v>
      </c>
      <c r="O19" s="20">
        <f>Empresas!O19/Empresas!O18-1</f>
        <v>-1.0892812685262321E-2</v>
      </c>
      <c r="P19" s="20">
        <f>Empresas!P19/Empresas!P18-1</f>
        <v>-6.847885434427381E-3</v>
      </c>
      <c r="Q19" s="20">
        <f>Empresas!Q19/Empresas!Q18-1</f>
        <v>-8.2828374030008423E-3</v>
      </c>
      <c r="R19" s="20">
        <f>Empresas!R19/Empresas!R18-1</f>
        <v>-4.050306663988934E-2</v>
      </c>
      <c r="S19" s="20">
        <f>Empresas!S19/Empresas!S18-1</f>
        <v>5.7621913450230933E-2</v>
      </c>
      <c r="T19" s="20">
        <f>Empresas!T19/Empresas!T18-1</f>
        <v>-1.4449037631278472E-2</v>
      </c>
      <c r="U19" s="20">
        <f>Empresas!U19/Empresas!U18-1</f>
        <v>0.16567458351530773</v>
      </c>
      <c r="V19" s="20">
        <f>Empresas!V19/Empresas!V18-1</f>
        <v>6.2456576772426775E-2</v>
      </c>
      <c r="W19" s="20">
        <f>Empresas!W19/Empresas!W18-1</f>
        <v>4.3553566634052965E-2</v>
      </c>
      <c r="X19" s="20">
        <f>Empresas!X19/Empresas!X18-1</f>
        <v>8.6551999701753646E-2</v>
      </c>
      <c r="Y19" s="20">
        <f>Empresas!Y19/Empresas!Y18-1</f>
        <v>6.8935118812178064E-2</v>
      </c>
      <c r="Z19" s="20">
        <f>Empresas!Z19/Empresas!Z18-1</f>
        <v>-2.9715457098145159E-2</v>
      </c>
      <c r="AA19" s="20">
        <f>Empresas!AA19/Empresas!AA18-1</f>
        <v>-2.9245783750039278E-2</v>
      </c>
      <c r="AB19" s="21">
        <f>Empresas!AB19/Empresas!AB18-1</f>
        <v>2.018282911877578E-2</v>
      </c>
      <c r="AC19" s="20">
        <f>Empresas!AC19/Empresas!AC18-1</f>
        <v>-3.3571509583736336E-3</v>
      </c>
      <c r="AD19" s="20">
        <f>Empresas!AD19/Empresas!AD18-1</f>
        <v>4.6602554891546077E-3</v>
      </c>
      <c r="AE19" s="20">
        <f>Empresas!AE19/Empresas!AE18-1</f>
        <v>-9.8455346760101259E-3</v>
      </c>
      <c r="AF19" s="20">
        <f>Empresas!AF19/Empresas!AF18-1</f>
        <v>1.9256535103855166E-2</v>
      </c>
      <c r="AG19" s="19">
        <f>Empresas!AG19/Empresas!AG18-1</f>
        <v>2.0081820069357548E-3</v>
      </c>
      <c r="AH19" s="20">
        <f>Empresas!AH19/Empresas!AH18-1</f>
        <v>8.451715269609883E-2</v>
      </c>
      <c r="AI19" s="21">
        <f>Empresas!AI19/Empresas!AI18-1</f>
        <v>3.8610496816035011E-2</v>
      </c>
      <c r="AJ19" s="21">
        <f>Empresas!AJ19/Empresas!AJ18-1</f>
        <v>3.9985662283950063E-3</v>
      </c>
    </row>
    <row r="20" spans="1:36" x14ac:dyDescent="0.35">
      <c r="A20" s="32">
        <v>45748</v>
      </c>
      <c r="B20" s="19">
        <f>Empresas!B20/Empresas!B19-1</f>
        <v>1.9723295414640685E-2</v>
      </c>
      <c r="C20" s="20">
        <f>Empresas!C20/Empresas!C19-1</f>
        <v>2.3313575841923395E-2</v>
      </c>
      <c r="D20" s="20">
        <f>Empresas!D20/Empresas!D19-1</f>
        <v>4.0439398775166779E-2</v>
      </c>
      <c r="E20" s="20">
        <f>Empresas!E20/Empresas!E19-1</f>
        <v>6.1731350601531787E-2</v>
      </c>
      <c r="F20" s="20">
        <f>Empresas!F20/Empresas!F19-1</f>
        <v>4.7483608337195449E-3</v>
      </c>
      <c r="G20" s="20">
        <f>Empresas!G20/Empresas!G19-1</f>
        <v>4.1847645199117434E-2</v>
      </c>
      <c r="H20" s="20">
        <f>Empresas!H20/Empresas!H19-1</f>
        <v>8.9120615598905939E-2</v>
      </c>
      <c r="I20" s="20">
        <f>Empresas!I20/Empresas!I19-1</f>
        <v>8.3777872045967872E-2</v>
      </c>
      <c r="J20" s="20">
        <f>Empresas!J20/Empresas!J19-1</f>
        <v>3.2389510248491016E-2</v>
      </c>
      <c r="K20" s="20">
        <f>Empresas!K20/Empresas!K19-1</f>
        <v>1.8296430444839196E-2</v>
      </c>
      <c r="L20" s="20">
        <f>Empresas!L20/Empresas!L19-1</f>
        <v>1.8153136564750261E-2</v>
      </c>
      <c r="M20" s="20">
        <f>Empresas!M20/Empresas!M19-1</f>
        <v>4.6860688347130974E-2</v>
      </c>
      <c r="N20" s="20">
        <f>Empresas!N20/Empresas!N19-1</f>
        <v>-1.8253698336033297E-2</v>
      </c>
      <c r="O20" s="20">
        <f>Empresas!O20/Empresas!O19-1</f>
        <v>-4.8668715398192397E-4</v>
      </c>
      <c r="P20" s="20">
        <f>Empresas!P20/Empresas!P19-1</f>
        <v>4.1105287941078927E-3</v>
      </c>
      <c r="Q20" s="20">
        <f>Empresas!Q20/Empresas!Q19-1</f>
        <v>4.8670644891974479E-2</v>
      </c>
      <c r="R20" s="20">
        <f>Empresas!R20/Empresas!R19-1</f>
        <v>-7.1498055748990819E-3</v>
      </c>
      <c r="S20" s="20">
        <f>Empresas!S20/Empresas!S19-1</f>
        <v>-6.2535971852715311E-2</v>
      </c>
      <c r="T20" s="20">
        <f>Empresas!T20/Empresas!T19-1</f>
        <v>0.2246778780269767</v>
      </c>
      <c r="U20" s="20">
        <f>Empresas!U20/Empresas!U19-1</f>
        <v>-0.145038131562502</v>
      </c>
      <c r="V20" s="20">
        <f>Empresas!V20/Empresas!V19-1</f>
        <v>-6.0481599678911757E-2</v>
      </c>
      <c r="W20" s="20">
        <f>Empresas!W20/Empresas!W19-1</f>
        <v>1.6934565696554271E-2</v>
      </c>
      <c r="X20" s="20">
        <f>Empresas!X20/Empresas!X19-1</f>
        <v>-2.3269185425249916E-2</v>
      </c>
      <c r="Y20" s="20">
        <f>Empresas!Y20/Empresas!Y19-1</f>
        <v>-0.19522398143095476</v>
      </c>
      <c r="Z20" s="20">
        <f>Empresas!Z20/Empresas!Z19-1</f>
        <v>1.2265720015266712E-2</v>
      </c>
      <c r="AA20" s="20">
        <f>Empresas!AA20/Empresas!AA19-1</f>
        <v>-2.8752591551522988E-2</v>
      </c>
      <c r="AB20" s="21">
        <f>Empresas!AB20/Empresas!AB19-1</f>
        <v>-3.9037832435340203E-4</v>
      </c>
      <c r="AC20" s="20">
        <f>Empresas!AC20/Empresas!AC19-1</f>
        <v>2.1098390877845929E-2</v>
      </c>
      <c r="AD20" s="20">
        <f>Empresas!AD20/Empresas!AD19-1</f>
        <v>-1.3723447459962013E-2</v>
      </c>
      <c r="AE20" s="20">
        <f>Empresas!AE20/Empresas!AE19-1</f>
        <v>-7.8007270038960019E-4</v>
      </c>
      <c r="AF20" s="20">
        <f>Empresas!AF20/Empresas!AF19-1</f>
        <v>-2.2587205983098824E-2</v>
      </c>
      <c r="AG20" s="19">
        <f>Empresas!AG20/Empresas!AG19-1</f>
        <v>-1.0618156888517971E-2</v>
      </c>
      <c r="AH20" s="20">
        <f>Empresas!AH20/Empresas!AH19-1</f>
        <v>-4.3364757618504113E-2</v>
      </c>
      <c r="AI20" s="21">
        <f>Empresas!AI20/Empresas!AI19-1</f>
        <v>-6.0051882883335184E-3</v>
      </c>
      <c r="AJ20" s="21">
        <f>Empresas!AJ20/Empresas!AJ19-1</f>
        <v>-1.1284814330681625E-2</v>
      </c>
    </row>
    <row r="21" spans="1:36" x14ac:dyDescent="0.35">
      <c r="A21" s="32">
        <v>45778</v>
      </c>
      <c r="B21" s="19">
        <f>Empresas!B21/Empresas!B20-1</f>
        <v>0.17240939104033082</v>
      </c>
      <c r="C21" s="20">
        <f>Empresas!C21/Empresas!C20-1</f>
        <v>0.15648559765258407</v>
      </c>
      <c r="D21" s="20">
        <f>Empresas!D21/Empresas!D20-1</f>
        <v>0.15475617171783052</v>
      </c>
      <c r="E21" s="20">
        <f>Empresas!E21/Empresas!E20-1</f>
        <v>9.6443254139825019E-2</v>
      </c>
      <c r="F21" s="20">
        <f>Empresas!F21/Empresas!F20-1</f>
        <v>0.14138762610738098</v>
      </c>
      <c r="G21" s="20">
        <f>Empresas!G21/Empresas!G20-1</f>
        <v>0.1317072877460137</v>
      </c>
      <c r="H21" s="20">
        <f>Empresas!H21/Empresas!H20-1</f>
        <v>4.1363814667083831E-2</v>
      </c>
      <c r="I21" s="20">
        <f>Empresas!I21/Empresas!I20-1</f>
        <v>0.16102823000542088</v>
      </c>
      <c r="J21" s="20">
        <f>Empresas!J21/Empresas!J20-1</f>
        <v>0.12500522490339083</v>
      </c>
      <c r="K21" s="20">
        <f>Empresas!K21/Empresas!K20-1</f>
        <v>0.13231079112683508</v>
      </c>
      <c r="L21" s="20">
        <f>Empresas!L21/Empresas!L20-1</f>
        <v>0.10669407559226673</v>
      </c>
      <c r="M21" s="20">
        <f>Empresas!M21/Empresas!M20-1</f>
        <v>6.7398744230566798E-2</v>
      </c>
      <c r="N21" s="20">
        <f>Empresas!N21/Empresas!N20-1</f>
        <v>0.14646847983292388</v>
      </c>
      <c r="O21" s="20">
        <f>Empresas!O21/Empresas!O20-1</f>
        <v>0.14031718868253806</v>
      </c>
      <c r="P21" s="20">
        <f>Empresas!P21/Empresas!P20-1</f>
        <v>0.14179518101857025</v>
      </c>
      <c r="Q21" s="20">
        <f>Empresas!Q21/Empresas!Q20-1</f>
        <v>0.13479303304625612</v>
      </c>
      <c r="R21" s="20">
        <f>Empresas!R21/Empresas!R20-1</f>
        <v>0.15516834777234867</v>
      </c>
      <c r="S21" s="20">
        <f>Empresas!S21/Empresas!S20-1</f>
        <v>8.1850445037116915E-2</v>
      </c>
      <c r="T21" s="20">
        <f>Empresas!T21/Empresas!T20-1</f>
        <v>0.14916944929040743</v>
      </c>
      <c r="U21" s="20">
        <f>Empresas!U21/Empresas!U20-1</f>
        <v>0.12995980844996846</v>
      </c>
      <c r="V21" s="20">
        <f>Empresas!V21/Empresas!V20-1</f>
        <v>0.12671277873356024</v>
      </c>
      <c r="W21" s="20">
        <f>Empresas!W21/Empresas!W20-1</f>
        <v>0.11281885831231531</v>
      </c>
      <c r="X21" s="20">
        <f>Empresas!X21/Empresas!X20-1</f>
        <v>5.5856235606994487E-2</v>
      </c>
      <c r="Y21" s="20">
        <f>Empresas!Y21/Empresas!Y20-1</f>
        <v>7.9201574717464807E-2</v>
      </c>
      <c r="Z21" s="20">
        <f>Empresas!Z21/Empresas!Z20-1</f>
        <v>8.9750732947535772E-2</v>
      </c>
      <c r="AA21" s="20">
        <f>Empresas!AA21/Empresas!AA20-1</f>
        <v>0.11063008400800745</v>
      </c>
      <c r="AB21" s="21">
        <f>Empresas!AB21/Empresas!AB20-1</f>
        <v>0.11406261985176025</v>
      </c>
      <c r="AC21" s="20">
        <f>Empresas!AC21/Empresas!AC20-1</f>
        <v>0.12366262482168522</v>
      </c>
      <c r="AD21" s="20">
        <f>Empresas!AD21/Empresas!AD20-1</f>
        <v>7.5864995219835141E-2</v>
      </c>
      <c r="AE21" s="20">
        <f>Empresas!AE21/Empresas!AE20-1</f>
        <v>0.10804355045780256</v>
      </c>
      <c r="AF21" s="20">
        <f>Empresas!AF21/Empresas!AF20-1</f>
        <v>0.12675038276788841</v>
      </c>
      <c r="AG21" s="19">
        <f>Empresas!AG21/Empresas!AG20-1</f>
        <v>0.11326115995363994</v>
      </c>
      <c r="AH21" s="20">
        <f>Empresas!AH21/Empresas!AH20-1</f>
        <v>2.651605896697995E-2</v>
      </c>
      <c r="AI21" s="21">
        <f>Empresas!AI21/Empresas!AI20-1</f>
        <v>8.3252090591559025E-3</v>
      </c>
      <c r="AJ21" s="21">
        <f>Empresas!AJ21/Empresas!AJ20-1</f>
        <v>0.11044554788746441</v>
      </c>
    </row>
    <row r="22" spans="1:36" x14ac:dyDescent="0.35">
      <c r="A22" s="32">
        <v>45809</v>
      </c>
      <c r="B22" s="19">
        <f>Empresas!B22/Empresas!B21-1</f>
        <v>-1.0150001546005982E-2</v>
      </c>
      <c r="C22" s="20">
        <f>Empresas!C22/Empresas!C21-1</f>
        <v>-5.1541498063111479E-2</v>
      </c>
      <c r="D22" s="20">
        <f>Empresas!D22/Empresas!D21-1</f>
        <v>3.6942640110181335E-2</v>
      </c>
      <c r="E22" s="20">
        <f>Empresas!E22/Empresas!E21-1</f>
        <v>2.5404129640674622E-2</v>
      </c>
      <c r="F22" s="20">
        <f>Empresas!F22/Empresas!F21-1</f>
        <v>-8.0786626696928709E-2</v>
      </c>
      <c r="G22" s="20">
        <f>Empresas!G22/Empresas!G21-1</f>
        <v>2.043257523794928E-2</v>
      </c>
      <c r="H22" s="20">
        <f>Empresas!H22/Empresas!H21-1</f>
        <v>-9.4509393638105843E-3</v>
      </c>
      <c r="I22" s="20">
        <f>Empresas!I22/Empresas!I21-1</f>
        <v>-6.7044436434401056E-2</v>
      </c>
      <c r="J22" s="20">
        <f>Empresas!J22/Empresas!J21-1</f>
        <v>-2.5370085748497639E-2</v>
      </c>
      <c r="K22" s="20">
        <f>Empresas!K22/Empresas!K21-1</f>
        <v>-2.2529479607048541E-2</v>
      </c>
      <c r="L22" s="20">
        <f>Empresas!L22/Empresas!L21-1</f>
        <v>-1.0965618519248488E-2</v>
      </c>
      <c r="M22" s="20">
        <f>Empresas!M22/Empresas!M21-1</f>
        <v>-1.2737423666662639E-2</v>
      </c>
      <c r="N22" s="20">
        <f>Empresas!N22/Empresas!N21-1</f>
        <v>-1.118848920468396E-2</v>
      </c>
      <c r="O22" s="20">
        <f>Empresas!O22/Empresas!O21-1</f>
        <v>-1.0295945071964407E-2</v>
      </c>
      <c r="P22" s="20">
        <f>Empresas!P22/Empresas!P21-1</f>
        <v>-5.4334468953900483E-2</v>
      </c>
      <c r="Q22" s="20">
        <f>Empresas!Q22/Empresas!Q21-1</f>
        <v>-4.5596650370464009E-2</v>
      </c>
      <c r="R22" s="20">
        <f>Empresas!R22/Empresas!R21-1</f>
        <v>-2.5157909292810809E-2</v>
      </c>
      <c r="S22" s="20">
        <f>Empresas!S22/Empresas!S21-1</f>
        <v>-1.2005403785255497E-2</v>
      </c>
      <c r="T22" s="20">
        <f>Empresas!T22/Empresas!T21-1</f>
        <v>-0.13974651349995137</v>
      </c>
      <c r="U22" s="20">
        <f>Empresas!U22/Empresas!U21-1</f>
        <v>-6.9919489907946941E-2</v>
      </c>
      <c r="V22" s="20">
        <f>Empresas!V22/Empresas!V21-1</f>
        <v>-1.7837457261699607E-2</v>
      </c>
      <c r="W22" s="20">
        <f>Empresas!W22/Empresas!W21-1</f>
        <v>1.0788124959598244E-2</v>
      </c>
      <c r="X22" s="20">
        <f>Empresas!X22/Empresas!X21-1</f>
        <v>1.7849796708903742E-2</v>
      </c>
      <c r="Y22" s="20">
        <f>Empresas!Y22/Empresas!Y21-1</f>
        <v>-2.4561625638356732E-2</v>
      </c>
      <c r="Z22" s="20">
        <f>Empresas!Z22/Empresas!Z21-1</f>
        <v>-6.9363518559037773E-2</v>
      </c>
      <c r="AA22" s="20">
        <f>Empresas!AA22/Empresas!AA21-1</f>
        <v>2.8788933531518568E-2</v>
      </c>
      <c r="AB22" s="21">
        <f>Empresas!AB22/Empresas!AB21-1</f>
        <v>2.4670329703283977E-2</v>
      </c>
      <c r="AC22" s="20">
        <f>Empresas!AC22/Empresas!AC21-1</f>
        <v>-4.9869078790760857E-2</v>
      </c>
      <c r="AD22" s="20">
        <f>Empresas!AD22/Empresas!AD21-1</f>
        <v>-1.1041164322810215E-2</v>
      </c>
      <c r="AE22" s="20">
        <f>Empresas!AE22/Empresas!AE21-1</f>
        <v>-3.2560461104522043E-2</v>
      </c>
      <c r="AF22" s="20">
        <f>Empresas!AF22/Empresas!AF21-1</f>
        <v>7.5555814752537032E-4</v>
      </c>
      <c r="AG22" s="19">
        <f>Empresas!AG22/Empresas!AG21-1</f>
        <v>-1.6014175253417084E-2</v>
      </c>
      <c r="AH22" s="20">
        <f>Empresas!AH22/Empresas!AH21-1</f>
        <v>-2.0119378833550416E-2</v>
      </c>
      <c r="AI22" s="21">
        <f>Empresas!AI22/Empresas!AI21-1</f>
        <v>-1.8353793768361326E-2</v>
      </c>
      <c r="AJ22" s="21">
        <f>Empresas!AJ22/Empresas!AJ21-1</f>
        <v>-1.6113958236007475E-2</v>
      </c>
    </row>
    <row r="23" spans="1:36" x14ac:dyDescent="0.35">
      <c r="A23" s="34">
        <v>45839</v>
      </c>
      <c r="B23" s="19">
        <f>Empresas!B23/Empresas!B22-1</f>
        <v>2.2069462798406381E-2</v>
      </c>
      <c r="C23" s="20">
        <f>Empresas!C23/Empresas!C22-1</f>
        <v>0.1087154462725366</v>
      </c>
      <c r="D23" s="20">
        <f>Empresas!D23/Empresas!D22-1</f>
        <v>8.8260129374908569E-2</v>
      </c>
      <c r="E23" s="20">
        <f>Empresas!E23/Empresas!E22-1</f>
        <v>7.5864597646091436E-3</v>
      </c>
      <c r="F23" s="20">
        <f>Empresas!F23/Empresas!F22-1</f>
        <v>0.12061932072352755</v>
      </c>
      <c r="G23" s="20">
        <f>Empresas!G23/Empresas!G22-1</f>
        <v>5.9858729413821976E-2</v>
      </c>
      <c r="H23" s="20">
        <f>Empresas!H23/Empresas!H22-1</f>
        <v>3.5998627626044E-2</v>
      </c>
      <c r="I23" s="20">
        <f>Empresas!I23/Empresas!I22-1</f>
        <v>3.8535852860751119E-2</v>
      </c>
      <c r="J23" s="20">
        <f>Empresas!J23/Empresas!J22-1</f>
        <v>2.1980492818252539E-2</v>
      </c>
      <c r="K23" s="20">
        <f>Empresas!K23/Empresas!K22-1</f>
        <v>4.9917535566469384E-2</v>
      </c>
      <c r="L23" s="20">
        <f>Empresas!L23/Empresas!L22-1</f>
        <v>5.8319545257186078E-2</v>
      </c>
      <c r="M23" s="20">
        <f>Empresas!M23/Empresas!M22-1</f>
        <v>6.7000907073950122E-2</v>
      </c>
      <c r="N23" s="20">
        <f>Empresas!N23/Empresas!N22-1</f>
        <v>-4.5042663562906426E-3</v>
      </c>
      <c r="O23" s="20">
        <f>Empresas!O23/Empresas!O22-1</f>
        <v>2.8669176152644527E-2</v>
      </c>
      <c r="P23" s="20">
        <f>Empresas!P23/Empresas!P22-1</f>
        <v>0.10279573577859047</v>
      </c>
      <c r="Q23" s="20">
        <f>Empresas!Q23/Empresas!Q22-1</f>
        <v>7.7341068647020839E-2</v>
      </c>
      <c r="R23" s="20">
        <f>Empresas!R23/Empresas!R22-1</f>
        <v>5.2138700852675024E-2</v>
      </c>
      <c r="S23" s="20">
        <f>Empresas!S23/Empresas!S22-1</f>
        <v>6.5554122794627023E-2</v>
      </c>
      <c r="T23" s="20">
        <f>Empresas!T23/Empresas!T22-1</f>
        <v>4.964632791731205E-3</v>
      </c>
      <c r="U23" s="20">
        <f>Empresas!U23/Empresas!U22-1</f>
        <v>6.6861267849439576E-2</v>
      </c>
      <c r="V23" s="20">
        <f>Empresas!V23/Empresas!V22-1</f>
        <v>8.2843852204415258E-2</v>
      </c>
      <c r="W23" s="20">
        <f>Empresas!W23/Empresas!W22-1</f>
        <v>7.0997934011947539E-2</v>
      </c>
      <c r="X23" s="20">
        <f>Empresas!X23/Empresas!X22-1</f>
        <v>3.6884285849510423E-2</v>
      </c>
      <c r="Y23" s="20">
        <f>Empresas!Y23/Empresas!Y22-1</f>
        <v>6.9712153156445078E-2</v>
      </c>
      <c r="Z23" s="20">
        <f>Empresas!Z23/Empresas!Z22-1</f>
        <v>0.112851507437703</v>
      </c>
      <c r="AA23" s="20">
        <f>Empresas!AA23/Empresas!AA22-1</f>
        <v>2.6749677061437271E-2</v>
      </c>
      <c r="AB23" s="21">
        <f>Empresas!AB23/Empresas!AB22-1</f>
        <v>2.7119470863923301E-2</v>
      </c>
      <c r="AC23" s="20">
        <f>Empresas!AC23/Empresas!AC22-1</f>
        <v>6.4992275251577247E-2</v>
      </c>
      <c r="AD23" s="20">
        <f>Empresas!AD23/Empresas!AD22-1</f>
        <v>4.8061746800427629E-2</v>
      </c>
      <c r="AE23" s="20">
        <f>Empresas!AE23/Empresas!AE22-1</f>
        <v>6.0701090172180727E-2</v>
      </c>
      <c r="AF23" s="20">
        <f>Empresas!AF23/Empresas!AF22-1</f>
        <v>2.883781102773364E-2</v>
      </c>
      <c r="AG23" s="19">
        <f>Empresas!AG23/Empresas!AG22-1</f>
        <v>4.5633536368756111E-2</v>
      </c>
      <c r="AH23" s="20">
        <f>Empresas!AH23/Empresas!AH22-1</f>
        <v>5.70168358380303E-2</v>
      </c>
      <c r="AI23" s="21">
        <f>Empresas!AI23/Empresas!AI22-1</f>
        <v>4.1485439562209292E-2</v>
      </c>
      <c r="AJ23" s="21">
        <f>Empresas!AJ23/Empresas!AJ22-1</f>
        <v>4.5817798000557186E-2</v>
      </c>
    </row>
    <row r="24" spans="1:36" x14ac:dyDescent="0.35">
      <c r="A24" s="32">
        <v>45870</v>
      </c>
      <c r="B24" s="19">
        <f>Empresas!B24/Empresas!B23-1</f>
        <v>5.4542702231521467E-3</v>
      </c>
      <c r="C24" s="20">
        <f>Empresas!C24/Empresas!C23-1</f>
        <v>-9.7508488196855869E-2</v>
      </c>
      <c r="D24" s="20">
        <f>Empresas!D24/Empresas!D23-1</f>
        <v>-6.4017249578107616E-2</v>
      </c>
      <c r="E24" s="20">
        <f>Empresas!E24/Empresas!E23-1</f>
        <v>-1.60565553435561E-2</v>
      </c>
      <c r="F24" s="20">
        <f>Empresas!F24/Empresas!F23-1</f>
        <v>-6.2992069940567164E-2</v>
      </c>
      <c r="G24" s="20">
        <f>Empresas!G24/Empresas!G23-1</f>
        <v>-5.6692767056565341E-2</v>
      </c>
      <c r="H24" s="20">
        <f>Empresas!H24/Empresas!H23-1</f>
        <v>-6.3867645079799584E-2</v>
      </c>
      <c r="I24" s="20">
        <f>Empresas!I24/Empresas!I23-1</f>
        <v>-5.6227092569227644E-2</v>
      </c>
      <c r="J24" s="20">
        <f>Empresas!J24/Empresas!J23-1</f>
        <v>-2.0002129342949648E-2</v>
      </c>
      <c r="K24" s="20">
        <f>Empresas!K24/Empresas!K23-1</f>
        <v>-1.4479632755262095E-3</v>
      </c>
      <c r="L24" s="20">
        <f>Empresas!L24/Empresas!L23-1</f>
        <v>-5.0491259883223893E-2</v>
      </c>
      <c r="M24" s="20">
        <f>Empresas!M24/Empresas!M23-1</f>
        <v>7.6779020675989296E-2</v>
      </c>
      <c r="N24" s="20">
        <f>Empresas!N24/Empresas!N23-1</f>
        <v>-2.1304490135951926E-2</v>
      </c>
      <c r="O24" s="20">
        <f>Empresas!O24/Empresas!O23-1</f>
        <v>-3.4444298110553606E-2</v>
      </c>
      <c r="P24" s="20">
        <f>Empresas!P24/Empresas!P23-1</f>
        <v>-6.4606258604620548E-2</v>
      </c>
      <c r="Q24" s="20">
        <f>Empresas!Q24/Empresas!Q23-1</f>
        <v>-4.9609068438403181E-2</v>
      </c>
      <c r="R24" s="20">
        <f>Empresas!R24/Empresas!R23-1</f>
        <v>-1.4837922434781103E-2</v>
      </c>
      <c r="S24" s="20">
        <f>Empresas!S24/Empresas!S23-1</f>
        <v>-1.6455200055748298E-2</v>
      </c>
      <c r="T24" s="20">
        <f>Empresas!T24/Empresas!T23-1</f>
        <v>-6.2735208873603954E-2</v>
      </c>
      <c r="U24" s="20">
        <f>Empresas!U24/Empresas!U23-1</f>
        <v>-2.2107783605309517E-2</v>
      </c>
      <c r="V24" s="20">
        <f>Empresas!V24/Empresas!V23-1</f>
        <v>-4.8691831117757656E-2</v>
      </c>
      <c r="W24" s="20">
        <f>Empresas!W24/Empresas!W23-1</f>
        <v>-4.9449847260419122E-2</v>
      </c>
      <c r="X24" s="20">
        <f>Empresas!X24/Empresas!X23-1</f>
        <v>-2.0189575143922389E-2</v>
      </c>
      <c r="Y24" s="20">
        <f>Empresas!Y24/Empresas!Y23-1</f>
        <v>-1.6484808144204943E-2</v>
      </c>
      <c r="Z24" s="20">
        <f>Empresas!Z24/Empresas!Z23-1</f>
        <v>-9.8539371643538987E-3</v>
      </c>
      <c r="AA24" s="20">
        <f>Empresas!AA24/Empresas!AA23-1</f>
        <v>-3.8631259502720394E-2</v>
      </c>
      <c r="AB24" s="21">
        <f>Empresas!AB24/Empresas!AB23-1</f>
        <v>-3.2344487781857945E-2</v>
      </c>
      <c r="AC24" s="20">
        <f>Empresas!AC24/Empresas!AC23-1</f>
        <v>-1.2369881006059735E-2</v>
      </c>
      <c r="AD24" s="20">
        <f>Empresas!AD24/Empresas!AD23-1</f>
        <v>-1.2792581330347663E-2</v>
      </c>
      <c r="AE24" s="20">
        <f>Empresas!AE24/Empresas!AE23-1</f>
        <v>-4.8594266555530008E-2</v>
      </c>
      <c r="AF24" s="20">
        <f>Empresas!AF24/Empresas!AF23-1</f>
        <v>-3.2988175083525251E-2</v>
      </c>
      <c r="AG24" s="19">
        <f>Empresas!AG24/Empresas!AG23-1</f>
        <v>-3.9659515154374603E-2</v>
      </c>
      <c r="AH24" s="20">
        <f>Empresas!AH24/Empresas!AH23-1</f>
        <v>0.10090821623187018</v>
      </c>
      <c r="AI24" s="21">
        <f>Empresas!AI24/Empresas!AI23-1</f>
        <v>3.5716916382931618E-2</v>
      </c>
      <c r="AJ24" s="21">
        <f>Empresas!AJ24/Empresas!AJ23-1</f>
        <v>-3.6269779716159078E-2</v>
      </c>
    </row>
    <row r="25" spans="1:36" x14ac:dyDescent="0.35">
      <c r="A25" s="32">
        <v>45901</v>
      </c>
      <c r="B25" s="19">
        <f>Empresas!B25/Empresas!B24-1</f>
        <v>-6.0339421083033806E-2</v>
      </c>
      <c r="C25" s="20">
        <f>Empresas!C25/Empresas!C24-1</f>
        <v>3.1046105690066383E-2</v>
      </c>
      <c r="D25" s="20">
        <f>Empresas!D25/Empresas!D24-1</f>
        <v>-5.797351743853929E-2</v>
      </c>
      <c r="E25" s="20">
        <f>Empresas!E25/Empresas!E24-1</f>
        <v>5.4156366037780845E-3</v>
      </c>
      <c r="F25" s="20">
        <f>Empresas!F25/Empresas!F24-1</f>
        <v>5.498536333354509E-2</v>
      </c>
      <c r="G25" s="20">
        <f>Empresas!G25/Empresas!G24-1</f>
        <v>-2.6190742488851004E-2</v>
      </c>
      <c r="H25" s="20">
        <f>Empresas!H25/Empresas!H24-1</f>
        <v>6.2980841405568366E-2</v>
      </c>
      <c r="I25" s="20">
        <f>Empresas!I25/Empresas!I24-1</f>
        <v>-1.4511389251216089E-2</v>
      </c>
      <c r="J25" s="20">
        <f>Empresas!J25/Empresas!J24-1</f>
        <v>3.0461178870400341E-2</v>
      </c>
      <c r="K25" s="20">
        <f>Empresas!K25/Empresas!K24-1</f>
        <v>-5.2387847185521474E-2</v>
      </c>
      <c r="L25" s="20">
        <f>Empresas!L25/Empresas!L24-1</f>
        <v>2.310234322431115E-2</v>
      </c>
      <c r="M25" s="20">
        <f>Empresas!M25/Empresas!M24-1</f>
        <v>2.0299209158856302E-2</v>
      </c>
      <c r="N25" s="20">
        <f>Empresas!N25/Empresas!N24-1</f>
        <v>2.8659230367479749E-2</v>
      </c>
      <c r="O25" s="20">
        <f>Empresas!O25/Empresas!O24-1</f>
        <v>1.1552020203262181E-2</v>
      </c>
      <c r="P25" s="20">
        <f>Empresas!P25/Empresas!P24-1</f>
        <v>2.1213064386529368E-3</v>
      </c>
      <c r="Q25" s="20">
        <f>Empresas!Q25/Empresas!Q24-1</f>
        <v>6.1998886732601566E-3</v>
      </c>
      <c r="R25" s="20">
        <f>Empresas!R25/Empresas!R24-1</f>
        <v>-4.3247710153842323E-2</v>
      </c>
      <c r="S25" s="20">
        <f>Empresas!S25/Empresas!S24-1</f>
        <v>1.2006199701780851E-2</v>
      </c>
      <c r="T25" s="20">
        <f>Empresas!T25/Empresas!T24-1</f>
        <v>2.1555317390809625E-2</v>
      </c>
      <c r="U25" s="20">
        <f>Empresas!U25/Empresas!U24-1</f>
        <v>5.3789365834976177E-2</v>
      </c>
      <c r="V25" s="20">
        <f>Empresas!V25/Empresas!V24-1</f>
        <v>1.6065102826236854E-2</v>
      </c>
      <c r="W25" s="20">
        <f>Empresas!W25/Empresas!W24-1</f>
        <v>7.8596243375067543E-2</v>
      </c>
      <c r="X25" s="20">
        <f>Empresas!X25/Empresas!X24-1</f>
        <v>3.074919811848198E-2</v>
      </c>
      <c r="Y25" s="20">
        <f>Empresas!Y25/Empresas!Y24-1</f>
        <v>1.0480806655298158E-2</v>
      </c>
      <c r="Z25" s="20">
        <f>Empresas!Z25/Empresas!Z24-1</f>
        <v>-1.2315954398277928E-2</v>
      </c>
      <c r="AA25" s="20">
        <f>Empresas!AA25/Empresas!AA24-1</f>
        <v>0.14339699141507078</v>
      </c>
      <c r="AB25" s="21">
        <f>Empresas!AB25/Empresas!AB24-1</f>
        <v>-1.519595961487763E-3</v>
      </c>
      <c r="AC25" s="20">
        <f>Empresas!AC25/Empresas!AC24-1</f>
        <v>5.4922588328699451E-2</v>
      </c>
      <c r="AD25" s="20">
        <f>Empresas!AD25/Empresas!AD24-1</f>
        <v>2.661276026886128E-2</v>
      </c>
      <c r="AE25" s="20">
        <f>Empresas!AE25/Empresas!AE24-1</f>
        <v>4.1539006725685335E-2</v>
      </c>
      <c r="AF25" s="20">
        <f>Empresas!AF25/Empresas!AF24-1</f>
        <v>6.9322370009570866E-2</v>
      </c>
      <c r="AG25" s="19">
        <f>Empresas!AG25/Empresas!AG24-1</f>
        <v>5.3746650841202781E-2</v>
      </c>
      <c r="AH25" s="20">
        <f>Empresas!AH25/Empresas!AH24-1</f>
        <v>-6.488967680487967E-2</v>
      </c>
      <c r="AI25" s="21">
        <f>Empresas!AI25/Empresas!AI24-1</f>
        <v>-1.4662498759362985E-2</v>
      </c>
      <c r="AJ25" s="21">
        <f>Empresas!AJ25/Empresas!AJ24-1</f>
        <v>5.0471310126139146E-2</v>
      </c>
    </row>
    <row r="26" spans="1:36" x14ac:dyDescent="0.35">
      <c r="A26" s="32">
        <v>45931</v>
      </c>
      <c r="B26" s="19">
        <f>Empresas!B26/Empresas!B25-1</f>
        <v>0.10253619480528897</v>
      </c>
      <c r="C26" s="20">
        <f>Empresas!C26/Empresas!C25-1</f>
        <v>0.10799507963355004</v>
      </c>
      <c r="D26" s="20">
        <f>Empresas!D26/Empresas!D25-1</f>
        <v>0.12530353133845207</v>
      </c>
      <c r="E26" s="20">
        <f>Empresas!E26/Empresas!E25-1</f>
        <v>0.10593503455655551</v>
      </c>
      <c r="F26" s="20">
        <f>Empresas!F26/Empresas!F25-1</f>
        <v>3.8497524920764192E-2</v>
      </c>
      <c r="G26" s="20">
        <f>Empresas!G26/Empresas!G25-1</f>
        <v>9.7070970222994601E-2</v>
      </c>
      <c r="H26" s="20">
        <f>Empresas!H26/Empresas!H25-1</f>
        <v>6.2348765115262106E-2</v>
      </c>
      <c r="I26" s="20">
        <f>Empresas!I26/Empresas!I25-1</f>
        <v>0.11031128423541259</v>
      </c>
      <c r="J26" s="20">
        <f>Empresas!J26/Empresas!J25-1</f>
        <v>5.8219560202239951E-2</v>
      </c>
      <c r="K26" s="20">
        <f>Empresas!K26/Empresas!K25-1</f>
        <v>0.12624825157097952</v>
      </c>
      <c r="L26" s="20">
        <f>Empresas!L26/Empresas!L25-1</f>
        <v>8.6334826797385134E-2</v>
      </c>
      <c r="M26" s="20">
        <f>Empresas!M26/Empresas!M25-1</f>
        <v>7.9504224111906607E-2</v>
      </c>
      <c r="N26" s="20">
        <f>Empresas!N26/Empresas!N25-1</f>
        <v>8.2582624620989753E-2</v>
      </c>
      <c r="O26" s="20">
        <f>Empresas!O26/Empresas!O25-1</f>
        <v>4.6301742491760445E-2</v>
      </c>
      <c r="P26" s="20">
        <f>Empresas!P26/Empresas!P25-1</f>
        <v>8.8341604218784342E-2</v>
      </c>
      <c r="Q26" s="20">
        <f>Empresas!Q26/Empresas!Q25-1</f>
        <v>8.7614977989691978E-2</v>
      </c>
      <c r="R26" s="20">
        <f>Empresas!R26/Empresas!R25-1</f>
        <v>8.4571940349463137E-2</v>
      </c>
      <c r="S26" s="20">
        <f>Empresas!S26/Empresas!S25-1</f>
        <v>7.8385810906190123E-2</v>
      </c>
      <c r="T26" s="20">
        <f>Empresas!T26/Empresas!T25-1</f>
        <v>0.16127802443380146</v>
      </c>
      <c r="U26" s="20">
        <f>Empresas!U26/Empresas!U25-1</f>
        <v>4.3122596329689955E-2</v>
      </c>
      <c r="V26" s="20">
        <f>Empresas!V26/Empresas!V25-1</f>
        <v>2.35689634725611E-2</v>
      </c>
      <c r="W26" s="20">
        <f>Empresas!W26/Empresas!W25-1</f>
        <v>-4.8732335199237475E-3</v>
      </c>
      <c r="X26" s="20">
        <f>Empresas!X26/Empresas!X25-1</f>
        <v>8.128407816000327E-2</v>
      </c>
      <c r="Y26" s="20">
        <f>Empresas!Y26/Empresas!Y25-1</f>
        <v>7.5590717619981262E-2</v>
      </c>
      <c r="Z26" s="20">
        <f>Empresas!Z26/Empresas!Z25-1</f>
        <v>0.10963026515924579</v>
      </c>
      <c r="AA26" s="20">
        <f>Empresas!AA26/Empresas!AA25-1</f>
        <v>5.3364337511829341E-2</v>
      </c>
      <c r="AB26" s="21">
        <f>Empresas!AB26/Empresas!AB25-1</f>
        <v>0.10462516545154665</v>
      </c>
      <c r="AC26" s="20">
        <f>Empresas!AC26/Empresas!AC25-1</f>
        <v>9.8970779159691658E-2</v>
      </c>
      <c r="AD26" s="20">
        <f>Empresas!AD26/Empresas!AD25-1</f>
        <v>6.1318923988165963E-2</v>
      </c>
      <c r="AE26" s="20">
        <f>Empresas!AE26/Empresas!AE25-1</f>
        <v>6.5083021743363778E-2</v>
      </c>
      <c r="AF26" s="20">
        <f>Empresas!AF26/Empresas!AF25-1</f>
        <v>9.6587284970711895E-2</v>
      </c>
      <c r="AG26" s="19">
        <f>Empresas!AG26/Empresas!AG25-1</f>
        <v>7.9096416561730498E-2</v>
      </c>
      <c r="AH26" s="20">
        <f>Empresas!AH26/Empresas!AH25-1</f>
        <v>3.5335062777148041E-2</v>
      </c>
      <c r="AI26" s="21">
        <f>Empresas!AI26/Empresas!AI25-1</f>
        <v>3.1281414674273478E-2</v>
      </c>
      <c r="AJ26" s="21">
        <f>Empresas!AJ26/Empresas!AJ25-1</f>
        <v>7.7815015938839327E-2</v>
      </c>
    </row>
    <row r="27" spans="1:36" x14ac:dyDescent="0.35">
      <c r="A27" s="32">
        <v>45962</v>
      </c>
      <c r="B27" s="19">
        <f>Empresas!B27/Empresas!B26-1</f>
        <v>-0.16340303130877298</v>
      </c>
      <c r="C27" s="20">
        <f>Empresas!C27/Empresas!C26-1</f>
        <v>-0.14421300719791064</v>
      </c>
      <c r="D27" s="20">
        <f>Empresas!D27/Empresas!D26-1</f>
        <v>-0.14289398415154486</v>
      </c>
      <c r="E27" s="20">
        <f>Empresas!E27/Empresas!E26-1</f>
        <v>-0.15938239322624836</v>
      </c>
      <c r="F27" s="20">
        <f>Empresas!F27/Empresas!F26-1</f>
        <v>-0.12546735469517667</v>
      </c>
      <c r="G27" s="20">
        <f>Empresas!G27/Empresas!G26-1</f>
        <v>-0.10961912164788201</v>
      </c>
      <c r="H27" s="20">
        <f>Empresas!H27/Empresas!H26-1</f>
        <v>0.11786531445179649</v>
      </c>
      <c r="I27" s="20">
        <f>Empresas!I27/Empresas!I26-1</f>
        <v>-7.3173991261886395E-2</v>
      </c>
      <c r="J27" s="20">
        <f>Empresas!J27/Empresas!J26-1</f>
        <v>-0.12875881145712509</v>
      </c>
      <c r="K27" s="20">
        <f>Empresas!K27/Empresas!K26-1</f>
        <v>-0.15039365382321368</v>
      </c>
      <c r="L27" s="20">
        <f>Empresas!L27/Empresas!L26-1</f>
        <v>-0.14025928498050833</v>
      </c>
      <c r="M27" s="20">
        <f>Empresas!M27/Empresas!M26-1</f>
        <v>-0.14836462749848589</v>
      </c>
      <c r="N27" s="20">
        <f>Empresas!N27/Empresas!N26-1</f>
        <v>-0.13265381354370165</v>
      </c>
      <c r="O27" s="20">
        <f>Empresas!O27/Empresas!O26-1</f>
        <v>-0.13568074072425385</v>
      </c>
      <c r="P27" s="20">
        <f>Empresas!P27/Empresas!P26-1</f>
        <v>-0.15343728588335437</v>
      </c>
      <c r="Q27" s="20">
        <f>Empresas!Q27/Empresas!Q26-1</f>
        <v>-0.13826591910292341</v>
      </c>
      <c r="R27" s="20">
        <f>Empresas!R27/Empresas!R26-1</f>
        <v>-0.12291530990740995</v>
      </c>
      <c r="S27" s="20">
        <f>Empresas!S27/Empresas!S26-1</f>
        <v>-0.13009462475396738</v>
      </c>
      <c r="T27" s="20">
        <f>Empresas!T27/Empresas!T26-1</f>
        <v>-0.1920205965287145</v>
      </c>
      <c r="U27" s="20">
        <f>Empresas!U27/Empresas!U26-1</f>
        <v>-0.20039617804707532</v>
      </c>
      <c r="V27" s="20">
        <f>Empresas!V27/Empresas!V26-1</f>
        <v>-0.14575340653525604</v>
      </c>
      <c r="W27" s="20">
        <f>Empresas!W27/Empresas!W26-1</f>
        <v>-0.10518814139110588</v>
      </c>
      <c r="X27" s="20">
        <f>Empresas!X27/Empresas!X26-1</f>
        <v>-0.13413060257680232</v>
      </c>
      <c r="Y27" s="20">
        <f>Empresas!Y27/Empresas!Y26-1</f>
        <v>-0.13177307134590066</v>
      </c>
      <c r="Z27" s="20">
        <f>Empresas!Z27/Empresas!Z26-1</f>
        <v>-0.16417613070332737</v>
      </c>
      <c r="AA27" s="20">
        <f>Empresas!AA27/Empresas!AA26-1</f>
        <v>-0.19431610585199677</v>
      </c>
      <c r="AB27" s="21">
        <f>Empresas!AB27/Empresas!AB26-1</f>
        <v>-0.15707200703120117</v>
      </c>
      <c r="AC27" s="20">
        <f>Empresas!AC27/Empresas!AC26-1</f>
        <v>-0.1398633725409606</v>
      </c>
      <c r="AD27" s="20">
        <f>Empresas!AD27/Empresas!AD26-1</f>
        <v>-0.1493689968878934</v>
      </c>
      <c r="AE27" s="20">
        <f>Empresas!AE27/Empresas!AE26-1</f>
        <v>-0.13582580329219707</v>
      </c>
      <c r="AF27" s="20">
        <f>Empresas!AF27/Empresas!AF26-1</f>
        <v>-0.16765682722364184</v>
      </c>
      <c r="AG27" s="19">
        <f>Empresas!AG27/Empresas!AG26-1</f>
        <v>-0.15424839475490304</v>
      </c>
      <c r="AH27" s="20">
        <f>Empresas!AH27/Empresas!AH26-1</f>
        <v>-4.1016757960673833E-2</v>
      </c>
      <c r="AI27" s="21">
        <f>Empresas!AI27/Empresas!AI26-1</f>
        <v>-4.7704681720663777E-2</v>
      </c>
      <c r="AJ27" s="21">
        <f>Empresas!AJ27/Empresas!AJ26-1</f>
        <v>-0.15120927588835353</v>
      </c>
    </row>
    <row r="28" spans="1:36" ht="15" thickBot="1" x14ac:dyDescent="0.4">
      <c r="A28" s="33">
        <v>45992</v>
      </c>
      <c r="B28" s="22">
        <f>Empresas!B28/Empresas!B27-1</f>
        <v>-2.9754033324517204E-2</v>
      </c>
      <c r="C28" s="23">
        <f>Empresas!C28/Empresas!C27-1</f>
        <v>-1.2206922218087279E-2</v>
      </c>
      <c r="D28" s="23">
        <f>Empresas!D28/Empresas!D27-1</f>
        <v>-9.4012418282775734E-2</v>
      </c>
      <c r="E28" s="23">
        <f>Empresas!E28/Empresas!E27-1</f>
        <v>-8.2654421567175174E-2</v>
      </c>
      <c r="F28" s="23">
        <f>Empresas!F28/Empresas!F27-1</f>
        <v>-4.2687630656891296E-2</v>
      </c>
      <c r="G28" s="23">
        <f>Empresas!G28/Empresas!G27-1</f>
        <v>-5.5784718130033384E-2</v>
      </c>
      <c r="H28" s="23">
        <f>Empresas!H28/Empresas!H27-1</f>
        <v>-0.11457929966255465</v>
      </c>
      <c r="I28" s="23">
        <f>Empresas!I28/Empresas!I27-1</f>
        <v>-0.112370642323946</v>
      </c>
      <c r="J28" s="23">
        <f>Empresas!J28/Empresas!J27-1</f>
        <v>-3.6344394373890476E-2</v>
      </c>
      <c r="K28" s="23">
        <f>Empresas!K28/Empresas!K27-1</f>
        <v>-2.8396925128997164E-2</v>
      </c>
      <c r="L28" s="23">
        <f>Empresas!L28/Empresas!L27-1</f>
        <v>-4.4014493426859369E-2</v>
      </c>
      <c r="M28" s="23">
        <f>Empresas!M28/Empresas!M27-1</f>
        <v>8.552327442125307E-3</v>
      </c>
      <c r="N28" s="23">
        <f>Empresas!N28/Empresas!N27-1</f>
        <v>-2.5469111928087318E-2</v>
      </c>
      <c r="O28" s="23">
        <f>Empresas!O28/Empresas!O27-1</f>
        <v>-5.4811629284371444E-2</v>
      </c>
      <c r="P28" s="23">
        <f>Empresas!P28/Empresas!P27-1</f>
        <v>0.24275868834768111</v>
      </c>
      <c r="Q28" s="23">
        <f>Empresas!Q28/Empresas!Q27-1</f>
        <v>-9.6897873823631464E-3</v>
      </c>
      <c r="R28" s="23">
        <f>Empresas!R28/Empresas!R27-1</f>
        <v>2.3728047520661155E-2</v>
      </c>
      <c r="S28" s="23">
        <f>Empresas!S28/Empresas!S27-1</f>
        <v>-5.6723153144624394E-2</v>
      </c>
      <c r="T28" s="23">
        <f>Empresas!T28/Empresas!T27-1</f>
        <v>-5.8266064352787028E-2</v>
      </c>
      <c r="U28" s="23">
        <f>Empresas!U28/Empresas!U27-1</f>
        <v>2.4948267319518491E-2</v>
      </c>
      <c r="V28" s="23">
        <f>Empresas!V28/Empresas!V27-1</f>
        <v>-2.0906732742265177E-3</v>
      </c>
      <c r="W28" s="23">
        <f>Empresas!W28/Empresas!W27-1</f>
        <v>-4.0299458426250601E-2</v>
      </c>
      <c r="X28" s="23">
        <f>Empresas!X28/Empresas!X27-1</f>
        <v>-3.5819204146005479E-2</v>
      </c>
      <c r="Y28" s="23">
        <f>Empresas!Y28/Empresas!Y27-1</f>
        <v>-3.3866426615081102E-2</v>
      </c>
      <c r="Z28" s="23">
        <f>Empresas!Z28/Empresas!Z27-1</f>
        <v>-1.9690107270560087E-2</v>
      </c>
      <c r="AA28" s="23">
        <f>Empresas!AA28/Empresas!AA27-1</f>
        <v>-5.8593797133859149E-2</v>
      </c>
      <c r="AB28" s="24">
        <f>Empresas!AB28/Empresas!AB27-1</f>
        <v>4.2824160274075318E-3</v>
      </c>
      <c r="AC28" s="23">
        <f>Empresas!AC28/Empresas!AC27-1</f>
        <v>-3.3002906166652912E-2</v>
      </c>
      <c r="AD28" s="23">
        <f>Empresas!AD28/Empresas!AD27-1</f>
        <v>-4.3711714304266347E-2</v>
      </c>
      <c r="AE28" s="23">
        <f>Empresas!AE28/Empresas!AE27-1</f>
        <v>-7.9575690443213221E-2</v>
      </c>
      <c r="AF28" s="23">
        <f>Empresas!AF28/Empresas!AF27-1</f>
        <v>-9.7122273374735668E-3</v>
      </c>
      <c r="AG28" s="22">
        <f>Empresas!AG28/Empresas!AG27-1</f>
        <v>-4.4321767817738666E-2</v>
      </c>
      <c r="AH28" s="23">
        <f>Empresas!AH28/Empresas!AH27-1</f>
        <v>-9.0437977712066742E-2</v>
      </c>
      <c r="AI28" s="24">
        <f>Empresas!AI28/Empresas!AI27-1</f>
        <v>9.4920423559163858E-4</v>
      </c>
      <c r="AJ28" s="24">
        <f>Empresas!AJ28/Empresas!AJ27-1</f>
        <v>-4.4896249066405991E-2</v>
      </c>
    </row>
    <row r="29" spans="1:36" x14ac:dyDescent="0.35">
      <c r="A29" s="31">
        <v>46023</v>
      </c>
      <c r="B29" s="25">
        <f>Empresas!B29/Empresas!B28-1</f>
        <v>0.10399345781654623</v>
      </c>
      <c r="C29" s="26">
        <f>Empresas!C29/Empresas!C28-1</f>
        <v>0.12056363499359501</v>
      </c>
      <c r="D29" s="26">
        <f>Empresas!D29/Empresas!D28-1</f>
        <v>0.17601594106636087</v>
      </c>
      <c r="E29" s="26">
        <f>Empresas!E29/Empresas!E28-1</f>
        <v>0.15743581462942036</v>
      </c>
      <c r="F29" s="26">
        <f>Empresas!F29/Empresas!F28-1</f>
        <v>0.10143572456725258</v>
      </c>
      <c r="G29" s="26">
        <f>Empresas!G29/Empresas!G28-1</f>
        <v>0.14263920671243335</v>
      </c>
      <c r="H29" s="26">
        <f>Empresas!H29/Empresas!H28-1</f>
        <v>-9.1701419802258544E-2</v>
      </c>
      <c r="I29" s="26">
        <f>Empresas!I29/Empresas!I28-1</f>
        <v>0.1439157273885987</v>
      </c>
      <c r="J29" s="26">
        <f>Empresas!J29/Empresas!J28-1</f>
        <v>0.13615139899530249</v>
      </c>
      <c r="K29" s="26">
        <f>Empresas!K29/Empresas!K28-1</f>
        <v>0.16380057803468229</v>
      </c>
      <c r="L29" s="26">
        <f>Empresas!L29/Empresas!L28-1</f>
        <v>0.14898591100636827</v>
      </c>
      <c r="M29" s="26">
        <f>Empresas!M29/Empresas!M28-1</f>
        <v>9.5693105089646124E-2</v>
      </c>
      <c r="N29" s="26">
        <f>Empresas!N29/Empresas!N28-1</f>
        <v>0.17065538558827709</v>
      </c>
      <c r="O29" s="26">
        <f>Empresas!O29/Empresas!O28-1</f>
        <v>0.13830729202141412</v>
      </c>
      <c r="P29" s="26">
        <f>Empresas!P29/Empresas!P28-1</f>
        <v>3.9134810838546752E-2</v>
      </c>
      <c r="Q29" s="26">
        <f>Empresas!Q29/Empresas!Q28-1</f>
        <v>9.5523018442911223E-2</v>
      </c>
      <c r="R29" s="26">
        <f>Empresas!R29/Empresas!R28-1</f>
        <v>0.14562770016713422</v>
      </c>
      <c r="S29" s="26">
        <f>Empresas!S29/Empresas!S28-1</f>
        <v>0.13097703360487123</v>
      </c>
      <c r="T29" s="26">
        <f>Empresas!T29/Empresas!T28-1</f>
        <v>0.10593575354699736</v>
      </c>
      <c r="U29" s="26">
        <f>Empresas!U29/Empresas!U28-1</f>
        <v>0.11940171183211534</v>
      </c>
      <c r="V29" s="26">
        <f>Empresas!V29/Empresas!V28-1</f>
        <v>0.12058195926285165</v>
      </c>
      <c r="W29" s="26">
        <f>Empresas!W29/Empresas!W28-1</f>
        <v>0.13261410788381744</v>
      </c>
      <c r="X29" s="26">
        <f>Empresas!X29/Empresas!X28-1</f>
        <v>7.0253517541856825E-2</v>
      </c>
      <c r="Y29" s="26">
        <f>Empresas!Y29/Empresas!Y28-1</f>
        <v>0.14297778870324418</v>
      </c>
      <c r="Z29" s="26">
        <f>Empresas!Z29/Empresas!Z28-1</f>
        <v>0.12498784164964505</v>
      </c>
      <c r="AA29" s="26">
        <f>Empresas!AA29/Empresas!AA28-1</f>
        <v>0.12119380156285398</v>
      </c>
      <c r="AB29" s="27">
        <f>Empresas!AB29/Empresas!AB28-1</f>
        <v>8.7619118246876182E-2</v>
      </c>
      <c r="AC29" s="26">
        <f>Empresas!AC29/Empresas!AC28-1</f>
        <v>0.10051461506793391</v>
      </c>
      <c r="AD29" s="20">
        <f>Empresas!AD29/Empresas!AD28-1</f>
        <v>0.1328098909688733</v>
      </c>
      <c r="AE29" s="26">
        <f>Empresas!AE29/Empresas!AE28-1</f>
        <v>0.13365992496200874</v>
      </c>
      <c r="AF29" s="26">
        <f>Empresas!AF29/Empresas!AF28-1</f>
        <v>0.10079449676821595</v>
      </c>
      <c r="AG29" s="25">
        <f>Empresas!AG29/Empresas!AG28-1</f>
        <v>0.12246253109476601</v>
      </c>
      <c r="AH29" s="26">
        <f>Empresas!AH29/Empresas!AH28-1</f>
        <v>1.7074698046152026E-2</v>
      </c>
      <c r="AI29" s="27">
        <f>Empresas!AI29/Empresas!AI28-1</f>
        <v>6.5858322918332934E-3</v>
      </c>
      <c r="AJ29" s="27">
        <f>Empresas!AJ29/Empresas!AJ28-1</f>
        <v>0.11917515712966886</v>
      </c>
    </row>
    <row r="30" spans="1:36" x14ac:dyDescent="0.35">
      <c r="A30" s="32">
        <v>46054</v>
      </c>
      <c r="B30" s="19">
        <f>Empresas!B30/Empresas!B29-1</f>
        <v>4.4007706997462703E-2</v>
      </c>
      <c r="C30" s="20">
        <f>Empresas!C30/Empresas!C29-1</f>
        <v>-3.7666337164144914E-2</v>
      </c>
      <c r="D30" s="20">
        <f>Empresas!D30/Empresas!D29-1</f>
        <v>-2.0121552872097714E-3</v>
      </c>
      <c r="E30" s="20">
        <f>Empresas!E30/Empresas!E29-1</f>
        <v>-1.5694348921126755E-2</v>
      </c>
      <c r="F30" s="20">
        <f>Empresas!F30/Empresas!F29-1</f>
        <v>-2.4195446311343072E-2</v>
      </c>
      <c r="G30" s="20">
        <f>Empresas!G30/Empresas!G29-1</f>
        <v>-4.4720039028096403E-2</v>
      </c>
      <c r="H30" s="20">
        <f>Empresas!H30/Empresas!H29-1</f>
        <v>2.0593354737152181E-2</v>
      </c>
      <c r="I30" s="20">
        <f>Empresas!I30/Empresas!I29-1</f>
        <v>-6.0229974172749889E-2</v>
      </c>
      <c r="J30" s="20">
        <f>Empresas!J30/Empresas!J29-1</f>
        <v>-3.4606374564005726E-4</v>
      </c>
      <c r="K30" s="20">
        <f>Empresas!K30/Empresas!K29-1</f>
        <v>-7.488090537472003E-2</v>
      </c>
      <c r="L30" s="20">
        <f>Empresas!L30/Empresas!L29-1</f>
        <v>-2.2410928329108626E-2</v>
      </c>
      <c r="M30" s="20">
        <f>Empresas!M30/Empresas!M29-1</f>
        <v>-2.789882476298855E-3</v>
      </c>
      <c r="N30" s="20">
        <f>Empresas!N30/Empresas!N29-1</f>
        <v>3.0599245063003266E-3</v>
      </c>
      <c r="O30" s="20">
        <f>Empresas!O30/Empresas!O29-1</f>
        <v>2.3975560693418663E-2</v>
      </c>
      <c r="P30" s="20">
        <f>Empresas!P30/Empresas!P29-1</f>
        <v>-7.9562566576053095E-2</v>
      </c>
      <c r="Q30" s="20">
        <f>Empresas!Q30/Empresas!Q29-1</f>
        <v>-1.1870313430801915E-2</v>
      </c>
      <c r="R30" s="20">
        <f>Empresas!R30/Empresas!R29-1</f>
        <v>-9.4179743634626445E-2</v>
      </c>
      <c r="S30" s="20">
        <f>Empresas!S30/Empresas!S29-1</f>
        <v>6.5596118573596485E-3</v>
      </c>
      <c r="T30" s="20">
        <f>Empresas!T30/Empresas!T29-1</f>
        <v>-5.9002567542294382E-2</v>
      </c>
      <c r="U30" s="20">
        <f>Empresas!U30/Empresas!U29-1</f>
        <v>-9.7432234963575892E-3</v>
      </c>
      <c r="V30" s="20">
        <f>Empresas!V30/Empresas!V29-1</f>
        <v>-4.6521466692210911E-3</v>
      </c>
      <c r="W30" s="20">
        <f>Empresas!W30/Empresas!W29-1</f>
        <v>-1.6338511894102736E-2</v>
      </c>
      <c r="X30" s="20">
        <f>Empresas!X30/Empresas!X29-1</f>
        <v>-1.8611154500219662E-2</v>
      </c>
      <c r="Y30" s="20">
        <f>Empresas!Y30/Empresas!Y29-1</f>
        <v>-3.3736471417660452E-2</v>
      </c>
      <c r="Z30" s="20">
        <f>Empresas!Z30/Empresas!Z29-1</f>
        <v>-3.2313582132885044E-2</v>
      </c>
      <c r="AA30" s="20">
        <f>Empresas!AA30/Empresas!AA29-1</f>
        <v>-1.2455495772741076E-2</v>
      </c>
      <c r="AB30" s="21">
        <f>Empresas!AB30/Empresas!AB29-1</f>
        <v>6.8386392933286189E-3</v>
      </c>
      <c r="AC30" s="20">
        <f>Empresas!AC30/Empresas!AC29-1</f>
        <v>-2.9122944840354492E-2</v>
      </c>
      <c r="AD30" s="20">
        <f>Empresas!AD30/Empresas!AD29-1</f>
        <v>-2.3652287721444343E-2</v>
      </c>
      <c r="AE30" s="20">
        <f>Empresas!AE30/Empresas!AE29-1</f>
        <v>-1.7446920265226318E-2</v>
      </c>
      <c r="AF30" s="20">
        <f>Empresas!AF30/Empresas!AF29-1</f>
        <v>-2.2060460734781406E-2</v>
      </c>
      <c r="AG30" s="19">
        <f>Empresas!AG30/Empresas!AG29-1</f>
        <v>-2.3040091830070941E-2</v>
      </c>
      <c r="AH30" s="20">
        <f>Empresas!AH30/Empresas!AH29-1</f>
        <v>5.9591029406733886E-2</v>
      </c>
      <c r="AI30" s="21">
        <f>Empresas!AI30/Empresas!AI29-1</f>
        <v>9.1513216764539385E-2</v>
      </c>
      <c r="AJ30" s="21">
        <f>Empresas!AJ30/Empresas!AJ29-1</f>
        <v>-2.0499253594482791E-2</v>
      </c>
    </row>
    <row r="31" spans="1:36" x14ac:dyDescent="0.35">
      <c r="A31" s="32">
        <v>46082</v>
      </c>
      <c r="B31" s="19">
        <f>Empresas!B31/Empresas!B30-1</f>
        <v>3.7842951750226561E-3</v>
      </c>
      <c r="C31" s="20">
        <f>Empresas!C31/Empresas!C30-1</f>
        <v>3.9865832780123123E-2</v>
      </c>
      <c r="D31" s="20">
        <f>Empresas!D31/Empresas!D30-1</f>
        <v>5.1629665834898919E-2</v>
      </c>
      <c r="E31" s="20">
        <f>Empresas!E31/Empresas!E30-1</f>
        <v>2.4379872430904115E-2</v>
      </c>
      <c r="F31" s="20">
        <f>Empresas!F31/Empresas!F30-1</f>
        <v>6.2590500392042614E-2</v>
      </c>
      <c r="G31" s="20">
        <f>Empresas!G31/Empresas!G30-1</f>
        <v>2.2743154818623879E-2</v>
      </c>
      <c r="H31" s="20">
        <f>Empresas!H31/Empresas!H30-1</f>
        <v>3.8501069942210808E-2</v>
      </c>
      <c r="I31" s="20">
        <f>Empresas!I31/Empresas!I30-1</f>
        <v>5.1017680084621375E-2</v>
      </c>
      <c r="J31" s="20">
        <f>Empresas!J31/Empresas!J30-1</f>
        <v>4.5540465510889305E-3</v>
      </c>
      <c r="K31" s="20">
        <f>Empresas!K31/Empresas!K30-1</f>
        <v>3.9561767025150241E-2</v>
      </c>
      <c r="L31" s="20">
        <f>Empresas!L31/Empresas!L30-1</f>
        <v>2.5766617557644533E-2</v>
      </c>
      <c r="M31" s="20">
        <f>Empresas!M31/Empresas!M30-1</f>
        <v>-5.7101828097521845E-2</v>
      </c>
      <c r="N31" s="20">
        <f>Empresas!N31/Empresas!N30-1</f>
        <v>-6.8182029211587891E-2</v>
      </c>
      <c r="O31" s="20">
        <f>Empresas!O31/Empresas!O30-1</f>
        <v>-8.8821363875335457E-4</v>
      </c>
      <c r="P31" s="20">
        <f>Empresas!P31/Empresas!P30-1</f>
        <v>3.2168207329154708E-2</v>
      </c>
      <c r="Q31" s="20">
        <f>Empresas!Q31/Empresas!Q30-1</f>
        <v>3.1093866845851581E-2</v>
      </c>
      <c r="R31" s="20">
        <f>Empresas!R31/Empresas!R30-1</f>
        <v>2.5161819673625407E-2</v>
      </c>
      <c r="S31" s="20">
        <f>Empresas!S31/Empresas!S30-1</f>
        <v>4.5168286396888302E-3</v>
      </c>
      <c r="T31" s="20">
        <f>Empresas!T31/Empresas!T30-1</f>
        <v>6.9918562524605044E-2</v>
      </c>
      <c r="U31" s="20">
        <f>Empresas!U31/Empresas!U30-1</f>
        <v>0.10158534708326905</v>
      </c>
      <c r="V31" s="20">
        <f>Empresas!V31/Empresas!V30-1</f>
        <v>4.462919159594092E-2</v>
      </c>
      <c r="W31" s="20">
        <f>Empresas!W31/Empresas!W30-1</f>
        <v>0.10846245530393595</v>
      </c>
      <c r="X31" s="20">
        <f>Empresas!X31/Empresas!X30-1</f>
        <v>-1.6628178811722516E-2</v>
      </c>
      <c r="Y31" s="20">
        <f>Empresas!Y31/Empresas!Y30-1</f>
        <v>6.1123895616210566E-2</v>
      </c>
      <c r="Z31" s="20">
        <f>Empresas!Z31/Empresas!Z30-1</f>
        <v>1.233023588277038E-2</v>
      </c>
      <c r="AA31" s="20">
        <f>Empresas!AA31/Empresas!AA30-1</f>
        <v>2.0064111777912119E-2</v>
      </c>
      <c r="AB31" s="21">
        <f>Empresas!AB31/Empresas!AB30-1</f>
        <v>1.6253555465266523E-3</v>
      </c>
      <c r="AC31" s="20">
        <f>Empresas!AC31/Empresas!AC30-1</f>
        <v>5.0148345085342605E-2</v>
      </c>
      <c r="AD31" s="20">
        <f>Empresas!AD31/Empresas!AD30-1</f>
        <v>1.503751914115159E-2</v>
      </c>
      <c r="AE31" s="20">
        <f>Empresas!AE31/Empresas!AE30-1</f>
        <v>3.9204124351500003E-2</v>
      </c>
      <c r="AF31" s="20">
        <f>Empresas!AF31/Empresas!AF30-1</f>
        <v>8.575631944640838E-3</v>
      </c>
      <c r="AG31" s="19">
        <f>Empresas!AG31/Empresas!AG30-1</f>
        <v>2.398704201841384E-2</v>
      </c>
      <c r="AH31" s="20">
        <f>Empresas!AH31/Empresas!AH30-1</f>
        <v>-3.7200082380888233E-3</v>
      </c>
      <c r="AI31" s="21">
        <f>Empresas!AI31/Empresas!AI30-1</f>
        <v>-3.5077415910304777E-2</v>
      </c>
      <c r="AJ31" s="21">
        <f>Empresas!AJ31/Empresas!AJ30-1</f>
        <v>2.2853783359595425E-2</v>
      </c>
    </row>
    <row r="32" spans="1:36" x14ac:dyDescent="0.35">
      <c r="A32" s="32">
        <v>46113</v>
      </c>
      <c r="B32" s="19">
        <f>Empresas!B32/Empresas!B31-1</f>
        <v>-0.10846385314830376</v>
      </c>
      <c r="C32" s="20">
        <f>Empresas!C32/Empresas!C31-1</f>
        <v>-7.9537628028011786E-2</v>
      </c>
      <c r="D32" s="20">
        <f>Empresas!D32/Empresas!D31-1</f>
        <v>-9.6452752721666979E-2</v>
      </c>
      <c r="E32" s="20">
        <f>Empresas!E32/Empresas!E31-1</f>
        <v>-6.9279382665708433E-2</v>
      </c>
      <c r="F32" s="20">
        <f>Empresas!F32/Empresas!F31-1</f>
        <v>-7.6149658937459952E-2</v>
      </c>
      <c r="G32" s="20">
        <f>Empresas!G32/Empresas!G31-1</f>
        <v>-4.9772530570677542E-2</v>
      </c>
      <c r="H32" s="20">
        <f>Empresas!H32/Empresas!H31-1</f>
        <v>-8.2066458779225804E-2</v>
      </c>
      <c r="I32" s="20">
        <f>Empresas!I32/Empresas!I31-1</f>
        <v>-8.9286515156912993E-2</v>
      </c>
      <c r="J32" s="20">
        <f>Empresas!J32/Empresas!J31-1</f>
        <v>-6.8956074566125958E-2</v>
      </c>
      <c r="K32" s="20">
        <f>Empresas!K32/Empresas!K31-1</f>
        <v>-7.0646935235148534E-2</v>
      </c>
      <c r="L32" s="20">
        <f>Empresas!L32/Empresas!L31-1</f>
        <v>-7.5948986615787306E-2</v>
      </c>
      <c r="M32" s="20">
        <f>Empresas!M32/Empresas!M31-1</f>
        <v>-2.0517298289143504E-2</v>
      </c>
      <c r="N32" s="20">
        <f>Empresas!N32/Empresas!N31-1</f>
        <v>-2.7544329798533052E-2</v>
      </c>
      <c r="O32" s="20">
        <f>Empresas!O32/Empresas!O31-1</f>
        <v>-5.3914567249602197E-2</v>
      </c>
      <c r="P32" s="20">
        <f>Empresas!P32/Empresas!P31-1</f>
        <v>-8.0432601374801238E-2</v>
      </c>
      <c r="Q32" s="20">
        <f>Empresas!Q32/Empresas!Q31-1</f>
        <v>-4.6213183412232905E-2</v>
      </c>
      <c r="R32" s="20">
        <f>Empresas!R32/Empresas!R31-1</f>
        <v>-6.576378360747992E-2</v>
      </c>
      <c r="S32" s="20">
        <f>Empresas!S32/Empresas!S31-1</f>
        <v>-5.3232076120179106E-2</v>
      </c>
      <c r="T32" s="20">
        <f>Empresas!T32/Empresas!T31-1</f>
        <v>-0.11158349857220384</v>
      </c>
      <c r="U32" s="20">
        <f>Empresas!U32/Empresas!U31-1</f>
        <v>-0.1404907647036564</v>
      </c>
      <c r="V32" s="20">
        <f>Empresas!V32/Empresas!V31-1</f>
        <v>-8.8381660844405463E-2</v>
      </c>
      <c r="W32" s="20">
        <f>Empresas!W32/Empresas!W31-1</f>
        <v>-0.12239593215802891</v>
      </c>
      <c r="X32" s="20">
        <f>Empresas!X32/Empresas!X31-1</f>
        <v>-5.1908785058959017E-2</v>
      </c>
      <c r="Y32" s="20">
        <f>Empresas!Y32/Empresas!Y31-1</f>
        <v>-9.1014403753197026E-2</v>
      </c>
      <c r="Z32" s="20">
        <f>Empresas!Z32/Empresas!Z31-1</f>
        <v>-4.7860294462456876E-2</v>
      </c>
      <c r="AA32" s="20">
        <f>Empresas!AA32/Empresas!AA31-1</f>
        <v>-6.9223760386775246E-2</v>
      </c>
      <c r="AB32" s="21">
        <f>Empresas!AB32/Empresas!AB31-1</f>
        <v>-5.0704025546596698E-2</v>
      </c>
      <c r="AC32" s="20">
        <f>Empresas!AC32/Empresas!AC31-1</f>
        <v>-6.8440948174664507E-2</v>
      </c>
      <c r="AD32" s="20">
        <f>Empresas!AD32/Empresas!AD31-1</f>
        <v>-6.3584207246601077E-2</v>
      </c>
      <c r="AE32" s="20">
        <f>Empresas!AE32/Empresas!AE31-1</f>
        <v>-6.8966862317576649E-2</v>
      </c>
      <c r="AF32" s="20">
        <f>Empresas!AF32/Empresas!AF31-1</f>
        <v>-7.5398988467159755E-2</v>
      </c>
      <c r="AG32" s="19">
        <f>Empresas!AG32/Empresas!AG31-1</f>
        <v>-7.1515433366791781E-2</v>
      </c>
      <c r="AH32" s="20">
        <f>Empresas!AH32/Empresas!AH31-1</f>
        <v>-4.5981853203222789E-2</v>
      </c>
      <c r="AI32" s="21">
        <f>Empresas!AI32/Empresas!AI31-1</f>
        <v>-4.342188032294958E-2</v>
      </c>
      <c r="AJ32" s="21">
        <f>Empresas!AJ32/Empresas!AJ31-1</f>
        <v>-7.0755993992259181E-2</v>
      </c>
    </row>
    <row r="33" spans="1:36" x14ac:dyDescent="0.35">
      <c r="A33" s="32">
        <v>46143</v>
      </c>
      <c r="B33" s="19">
        <f>Empresas!B33/Empresas!B32-1</f>
        <v>4.5201999891703037E-2</v>
      </c>
      <c r="C33" s="20">
        <f>Empresas!C33/Empresas!C32-1</f>
        <v>6.243618357516123E-2</v>
      </c>
      <c r="D33" s="20">
        <f>Empresas!D33/Empresas!D32-1</f>
        <v>4.1197691189429619E-2</v>
      </c>
      <c r="E33" s="20">
        <f>Empresas!E33/Empresas!E32-1</f>
        <v>7.2372413375186406E-2</v>
      </c>
      <c r="F33" s="20">
        <f>Empresas!F33/Empresas!F32-1</f>
        <v>7.2698711072260114E-2</v>
      </c>
      <c r="G33" s="20">
        <f>Empresas!G33/Empresas!G32-1</f>
        <v>5.1915924286775716E-2</v>
      </c>
      <c r="H33" s="20">
        <f>Empresas!H33/Empresas!H32-1</f>
        <v>5.2492482127448836E-2</v>
      </c>
      <c r="I33" s="20">
        <f>Empresas!I33/Empresas!I32-1</f>
        <v>7.5095793220888885E-2</v>
      </c>
      <c r="J33" s="20">
        <f>Empresas!J33/Empresas!J32-1</f>
        <v>4.0610736049275564E-2</v>
      </c>
      <c r="K33" s="20">
        <f>Empresas!K33/Empresas!K32-1</f>
        <v>7.8538169293934867E-2</v>
      </c>
      <c r="L33" s="20">
        <f>Empresas!L33/Empresas!L32-1</f>
        <v>5.4685156799618495E-2</v>
      </c>
      <c r="M33" s="20">
        <f>Empresas!M33/Empresas!M32-1</f>
        <v>1.8685263894945958E-2</v>
      </c>
      <c r="N33" s="20">
        <f>Empresas!N33/Empresas!N32-1</f>
        <v>-4.8670168409026271E-4</v>
      </c>
      <c r="O33" s="20">
        <f>Empresas!O33/Empresas!O32-1</f>
        <v>2.8676614662043187E-2</v>
      </c>
      <c r="P33" s="20">
        <f>Empresas!P33/Empresas!P32-1</f>
        <v>0.16690798927660544</v>
      </c>
      <c r="Q33" s="20">
        <f>Empresas!Q33/Empresas!Q32-1</f>
        <v>7.150307537436662E-2</v>
      </c>
      <c r="R33" s="20">
        <f>Empresas!R33/Empresas!R32-1</f>
        <v>8.9702785034716737E-2</v>
      </c>
      <c r="S33" s="20">
        <f>Empresas!S33/Empresas!S32-1</f>
        <v>3.9772853894373128E-2</v>
      </c>
      <c r="T33" s="20">
        <f>Empresas!T33/Empresas!T32-1</f>
        <v>9.7744110652067562E-2</v>
      </c>
      <c r="U33" s="20">
        <f>Empresas!U33/Empresas!U32-1</f>
        <v>5.5670294307889723E-2</v>
      </c>
      <c r="V33" s="20">
        <f>Empresas!V33/Empresas!V32-1</f>
        <v>5.3917212685654414E-2</v>
      </c>
      <c r="W33" s="20">
        <f>Empresas!W33/Empresas!W32-1</f>
        <v>4.1661567585524084E-2</v>
      </c>
      <c r="X33" s="20">
        <f>Empresas!X33/Empresas!X32-1</f>
        <v>4.0467300164263253E-2</v>
      </c>
      <c r="Y33" s="20">
        <f>Empresas!Y33/Empresas!Y32-1</f>
        <v>1.8431771374609385E-2</v>
      </c>
      <c r="Z33" s="20">
        <f>Empresas!Z33/Empresas!Z32-1</f>
        <v>6.8612632452360822E-2</v>
      </c>
      <c r="AA33" s="20">
        <f>Empresas!AA33/Empresas!AA32-1</f>
        <v>8.6491346083548803E-2</v>
      </c>
      <c r="AB33" s="21">
        <f>Empresas!AB33/Empresas!AB32-1</f>
        <v>1.9279549114979755E-2</v>
      </c>
      <c r="AC33" s="20">
        <f>Empresas!AC33/Empresas!AC32-1</f>
        <v>5.8709357106149218E-2</v>
      </c>
      <c r="AD33" s="20">
        <f>Empresas!AD33/Empresas!AD32-1</f>
        <v>4.3022281721311728E-2</v>
      </c>
      <c r="AE33" s="20">
        <f>Empresas!AE33/Empresas!AE32-1</f>
        <v>4.4312973372639952E-2</v>
      </c>
      <c r="AF33" s="20">
        <f>Empresas!AF33/Empresas!AF32-1</f>
        <v>8.5323889472895598E-2</v>
      </c>
      <c r="AG33" s="19">
        <f>Empresas!AG33/Empresas!AG32-1</f>
        <v>6.1723240058902062E-2</v>
      </c>
      <c r="AH33" s="20">
        <f>Empresas!AH33/Empresas!AH32-1</f>
        <v>4.2019018688854715E-2</v>
      </c>
      <c r="AI33" s="21">
        <f>Empresas!AI33/Empresas!AI32-1</f>
        <v>2.881941008108746E-2</v>
      </c>
      <c r="AJ33" s="21">
        <f>Empresas!AJ33/Empresas!AJ32-1</f>
        <v>6.1014899063521977E-2</v>
      </c>
    </row>
    <row r="34" spans="1:36" x14ac:dyDescent="0.35">
      <c r="A34" s="32">
        <v>46174</v>
      </c>
      <c r="B34" s="19">
        <f>Empresas!B34/Empresas!B33-1</f>
        <v>4.8388561854934453E-2</v>
      </c>
      <c r="C34" s="20">
        <f>Empresas!C34/Empresas!C33-1</f>
        <v>2.0435797881134921E-2</v>
      </c>
      <c r="D34" s="20">
        <f>Empresas!D34/Empresas!D33-1</f>
        <v>2.2525900984762259E-2</v>
      </c>
      <c r="E34" s="20">
        <f>Empresas!E34/Empresas!E33-1</f>
        <v>2.6583255071082279E-2</v>
      </c>
      <c r="F34" s="20">
        <f>Empresas!F34/Empresas!F33-1</f>
        <v>-2.9826527413772008E-2</v>
      </c>
      <c r="G34" s="20">
        <f>Empresas!G34/Empresas!G33-1</f>
        <v>5.4881331984275583E-2</v>
      </c>
      <c r="H34" s="20">
        <f>Empresas!H34/Empresas!H33-1</f>
        <v>5.0971605330698999E-2</v>
      </c>
      <c r="I34" s="20">
        <f>Empresas!I34/Empresas!I33-1</f>
        <v>4.2666778694808061E-2</v>
      </c>
      <c r="J34" s="20">
        <f>Empresas!J34/Empresas!J33-1</f>
        <v>4.059967647560625E-2</v>
      </c>
      <c r="K34" s="20">
        <f>Empresas!K34/Empresas!K33-1</f>
        <v>5.7971941809422223E-2</v>
      </c>
      <c r="L34" s="20">
        <f>Empresas!L34/Empresas!L33-1</f>
        <v>6.0967656428034145E-2</v>
      </c>
      <c r="M34" s="20">
        <f>Empresas!M34/Empresas!M33-1</f>
        <v>6.2645390084081098E-2</v>
      </c>
      <c r="N34" s="20">
        <f>Empresas!N34/Empresas!N33-1</f>
        <v>7.4310703443034143E-2</v>
      </c>
      <c r="O34" s="20">
        <f>Empresas!O34/Empresas!O33-1</f>
        <v>3.3845747164401807E-2</v>
      </c>
      <c r="P34" s="20">
        <f>Empresas!P34/Empresas!P33-1</f>
        <v>-0.1317342988976038</v>
      </c>
      <c r="Q34" s="20">
        <f>Empresas!Q34/Empresas!Q33-1</f>
        <v>3.4016744055905601E-2</v>
      </c>
      <c r="R34" s="20">
        <f>Empresas!R34/Empresas!R33-1</f>
        <v>4.2913436239556901E-2</v>
      </c>
      <c r="S34" s="20">
        <f>Empresas!S34/Empresas!S33-1</f>
        <v>3.7074832511101663E-2</v>
      </c>
      <c r="T34" s="20">
        <f>Empresas!T34/Empresas!T33-1</f>
        <v>6.4156195396994908E-2</v>
      </c>
      <c r="U34" s="20">
        <f>Empresas!U34/Empresas!U33-1</f>
        <v>2.708048873245561E-2</v>
      </c>
      <c r="V34" s="20">
        <f>Empresas!V34/Empresas!V33-1</f>
        <v>5.3962509431238148E-2</v>
      </c>
      <c r="W34" s="20">
        <f>Empresas!W34/Empresas!W33-1</f>
        <v>3.0926736623277939E-3</v>
      </c>
      <c r="X34" s="20">
        <f>Empresas!X34/Empresas!X33-1</f>
        <v>5.5711977656989431E-2</v>
      </c>
      <c r="Y34" s="20">
        <f>Empresas!Y34/Empresas!Y33-1</f>
        <v>3.6745254930780291E-2</v>
      </c>
      <c r="Z34" s="20">
        <f>Empresas!Z34/Empresas!Z33-1</f>
        <v>-2.4222955161391613E-2</v>
      </c>
      <c r="AA34" s="20">
        <f>Empresas!AA34/Empresas!AA33-1</f>
        <v>4.8789353476037967E-2</v>
      </c>
      <c r="AB34" s="21">
        <f>Empresas!AB34/Empresas!AB33-1</f>
        <v>4.6792422192297733E-2</v>
      </c>
      <c r="AC34" s="20">
        <f>Empresas!AC34/Empresas!AC33-1</f>
        <v>2.3184916269024525E-2</v>
      </c>
      <c r="AD34" s="20">
        <f>Empresas!AD34/Empresas!AD33-1</f>
        <v>3.5192265072896411E-2</v>
      </c>
      <c r="AE34" s="20">
        <f>Empresas!AE34/Empresas!AE33-1</f>
        <v>1.8311503640014104E-2</v>
      </c>
      <c r="AF34" s="20">
        <f>Empresas!AF34/Empresas!AF33-1</f>
        <v>6.9195575662247766E-2</v>
      </c>
      <c r="AG34" s="19">
        <f>Empresas!AG34/Empresas!AG33-1</f>
        <v>4.3099383961960003E-2</v>
      </c>
      <c r="AH34" s="20">
        <f>Empresas!AH34/Empresas!AH33-1</f>
        <v>1.2236407672733041E-2</v>
      </c>
      <c r="AI34" s="21">
        <f>Empresas!AI34/Empresas!AI33-1</f>
        <v>9.1546821583869953E-3</v>
      </c>
      <c r="AJ34" s="21">
        <f>Empresas!AJ34/Empresas!AJ33-1</f>
        <v>4.2176973109973259E-2</v>
      </c>
    </row>
    <row r="35" spans="1:36" x14ac:dyDescent="0.35">
      <c r="A35" s="34">
        <v>46204</v>
      </c>
      <c r="B35" s="19">
        <f>Empresas!B35/Empresas!B34-1</f>
        <v>0.21660747559903326</v>
      </c>
      <c r="C35" s="20">
        <f>Empresas!C35/Empresas!C34-1</f>
        <v>0.2699678415360609</v>
      </c>
      <c r="D35" s="20">
        <f>Empresas!D35/Empresas!D34-1</f>
        <v>0.18235019732506474</v>
      </c>
      <c r="E35" s="20">
        <f>Empresas!E35/Empresas!E34-1</f>
        <v>0.21077879865773608</v>
      </c>
      <c r="F35" s="20">
        <f>Empresas!F35/Empresas!F34-1</f>
        <v>0.25731079764265274</v>
      </c>
      <c r="G35" s="20">
        <f>Empresas!G35/Empresas!G34-1</f>
        <v>0.16652700139920928</v>
      </c>
      <c r="H35" s="20">
        <f>Empresas!H35/Empresas!H34-1</f>
        <v>0.19745520934714333</v>
      </c>
      <c r="I35" s="20">
        <f>Empresas!I35/Empresas!I34-1</f>
        <v>0.16789660818314078</v>
      </c>
      <c r="J35" s="20">
        <f>Empresas!J35/Empresas!J34-1</f>
        <v>0.16805530932790225</v>
      </c>
      <c r="K35" s="20">
        <f>Empresas!K35/Empresas!K34-1</f>
        <v>9.6170247085979099E-2</v>
      </c>
      <c r="L35" s="20">
        <f>Empresas!L35/Empresas!L34-1</f>
        <v>0.17317734539025342</v>
      </c>
      <c r="M35" s="20">
        <f>Empresas!M35/Empresas!M34-1</f>
        <v>0.14125196192182154</v>
      </c>
      <c r="N35" s="20">
        <f>Empresas!N35/Empresas!N34-1</f>
        <v>0.12219335476027293</v>
      </c>
      <c r="O35" s="20">
        <f>Empresas!O35/Empresas!O34-1</f>
        <v>0.16525638478773419</v>
      </c>
      <c r="P35" s="20">
        <f>Empresas!P35/Empresas!P34-1</f>
        <v>0.24335734568765655</v>
      </c>
      <c r="Q35" s="20">
        <f>Empresas!Q35/Empresas!Q34-1</f>
        <v>0.1935685971187624</v>
      </c>
      <c r="R35" s="20">
        <f>Empresas!R35/Empresas!R34-1</f>
        <v>0.12987167211452944</v>
      </c>
      <c r="S35" s="20">
        <f>Empresas!S35/Empresas!S34-1</f>
        <v>0.14834084735123021</v>
      </c>
      <c r="T35" s="20">
        <f>Empresas!T35/Empresas!T34-1</f>
        <v>0.19083842379887961</v>
      </c>
      <c r="U35" s="20">
        <f>Empresas!U35/Empresas!U34-1</f>
        <v>0.20632337107390852</v>
      </c>
      <c r="V35" s="20">
        <f>Empresas!V35/Empresas!V34-1</f>
        <v>0.14713807742824714</v>
      </c>
      <c r="W35" s="20">
        <f>Empresas!W35/Empresas!W34-1</f>
        <v>0.23621302356773533</v>
      </c>
      <c r="X35" s="20">
        <f>Empresas!X35/Empresas!X34-1</f>
        <v>0.13589506007978835</v>
      </c>
      <c r="Y35" s="20">
        <f>Empresas!Y35/Empresas!Y34-1</f>
        <v>0.13069470056240351</v>
      </c>
      <c r="Z35" s="20">
        <f>Empresas!Z35/Empresas!Z34-1</f>
        <v>0.19824920751088082</v>
      </c>
      <c r="AA35" s="20">
        <f>Empresas!AA35/Empresas!AA34-1</f>
        <v>0.11946576867974446</v>
      </c>
      <c r="AB35" s="21">
        <f>Empresas!AB35/Empresas!AB34-1</f>
        <v>0.10259279873480875</v>
      </c>
      <c r="AC35" s="20">
        <f>Empresas!AC35/Empresas!AC34-1</f>
        <v>5.1289885648310385E-2</v>
      </c>
      <c r="AD35" s="20">
        <f>Empresas!AD35/Empresas!AD34-1</f>
        <v>0.12930337305738515</v>
      </c>
      <c r="AE35" s="20">
        <f>Empresas!AE35/Empresas!AE34-1</f>
        <v>0.1336235150306424</v>
      </c>
      <c r="AF35" s="20">
        <f>Empresas!AF35/Empresas!AF34-1</f>
        <v>0.18482983257513697</v>
      </c>
      <c r="AG35" s="19">
        <f>Empresas!AG35/Empresas!AG34-1</f>
        <v>0.15718528092770256</v>
      </c>
      <c r="AH35" s="20">
        <f>Empresas!AH35/Empresas!AH34-1</f>
        <v>3.7487611309210633E-2</v>
      </c>
      <c r="AI35" s="21">
        <f>Empresas!AI35/Empresas!AI34-1</f>
        <v>2.7560518965218828E-2</v>
      </c>
      <c r="AJ35" s="21">
        <f>Empresas!AJ35/Empresas!AJ34-1</f>
        <v>0.15373214395876045</v>
      </c>
    </row>
    <row r="36" spans="1:36" x14ac:dyDescent="0.35">
      <c r="A36" s="32">
        <v>46235</v>
      </c>
      <c r="B36" s="19">
        <f>IFERROR(Empresas!B36/Empresas!B35-1,"")</f>
        <v>-0.20229550537313334</v>
      </c>
      <c r="C36" s="20">
        <f>Empresas!C36/Empresas!C35-1</f>
        <v>-0.19104933899546472</v>
      </c>
      <c r="D36" s="20">
        <f>Empresas!D36/Empresas!D35-1</f>
        <v>-0.16964857948054535</v>
      </c>
      <c r="E36" s="20">
        <f>Empresas!E36/Empresas!E35-1</f>
        <v>-0.18319454500975096</v>
      </c>
      <c r="F36" s="20">
        <f>Empresas!F36/Empresas!F35-1</f>
        <v>-0.15441480079937253</v>
      </c>
      <c r="G36" s="20">
        <f>Empresas!G36/Empresas!G35-1</f>
        <v>-0.16753220685845216</v>
      </c>
      <c r="H36" s="20">
        <f>Empresas!H36/Empresas!H35-1</f>
        <v>-0.16711418395505095</v>
      </c>
      <c r="I36" s="20">
        <f>Empresas!I36/Empresas!I35-1</f>
        <v>-0.15350042746248205</v>
      </c>
      <c r="J36" s="20">
        <f>Empresas!J36/Empresas!J35-1</f>
        <v>-0.1454516690149259</v>
      </c>
      <c r="K36" s="20">
        <f>Empresas!K36/Empresas!K35-1</f>
        <v>-0.1270541762820464</v>
      </c>
      <c r="L36" s="20">
        <f>Empresas!L36/Empresas!L35-1</f>
        <v>-0.16556045394302066</v>
      </c>
      <c r="M36" s="20">
        <f>Empresas!M36/Empresas!M35-1</f>
        <v>-0.1433428226749992</v>
      </c>
      <c r="N36" s="20">
        <f>Empresas!N36/Empresas!N35-1</f>
        <v>-0.13413087071150398</v>
      </c>
      <c r="O36" s="20">
        <f>Empresas!O36/Empresas!O35-1</f>
        <v>-0.15019324068481099</v>
      </c>
      <c r="P36" s="20">
        <f>Empresas!P36/Empresas!P35-1</f>
        <v>-0.18899733496580418</v>
      </c>
      <c r="Q36" s="20">
        <f>Empresas!Q36/Empresas!Q35-1</f>
        <v>-0.1502284848161165</v>
      </c>
      <c r="R36" s="20">
        <f>Empresas!R36/Empresas!R35-1</f>
        <v>-0.15919679666714581</v>
      </c>
      <c r="S36" s="20">
        <f>Empresas!S36/Empresas!S35-1</f>
        <v>-0.10620561483338598</v>
      </c>
      <c r="T36" s="20">
        <f>Empresas!T36/Empresas!T35-1</f>
        <v>-0.19651939527356233</v>
      </c>
      <c r="U36" s="20">
        <f>Empresas!U36/Empresas!U35-1</f>
        <v>-0.13289815764058255</v>
      </c>
      <c r="V36" s="20">
        <f>Empresas!V36/Empresas!V35-1</f>
        <v>-0.14660706287003289</v>
      </c>
      <c r="W36" s="20">
        <f>Empresas!W36/Empresas!W35-1</f>
        <v>-0.18173264120259103</v>
      </c>
      <c r="X36" s="20">
        <f>Empresas!X36/Empresas!X35-1</f>
        <v>-0.13994071605187242</v>
      </c>
      <c r="Y36" s="20">
        <f>Empresas!Y36/Empresas!Y35-1</f>
        <v>-9.393945663145864E-2</v>
      </c>
      <c r="Z36" s="20">
        <f>Empresas!Z36/Empresas!Z35-1</f>
        <v>-7.0243791037764569E-2</v>
      </c>
      <c r="AA36" s="20">
        <f>Empresas!AA36/Empresas!AA35-1</f>
        <v>-0.11255906165856044</v>
      </c>
      <c r="AB36" s="21">
        <f>Empresas!AB36/Empresas!AB35-1</f>
        <v>-0.11503547126546909</v>
      </c>
      <c r="AC36" s="20">
        <f>Empresas!AC36/Empresas!AC35-1</f>
        <v>-8.8787000845241826E-3</v>
      </c>
      <c r="AD36" s="20">
        <f>Empresas!AD36/Empresas!AD35-1</f>
        <v>-0.11697942136072415</v>
      </c>
      <c r="AE36" s="20">
        <f>Empresas!AE36/Empresas!AE35-1</f>
        <v>-0.11646383341578581</v>
      </c>
      <c r="AF36" s="20">
        <f>Empresas!AF36/Empresas!AF35-1</f>
        <v>-0.16547656640944852</v>
      </c>
      <c r="AG36" s="19">
        <f>Empresas!AG36/Empresas!AG35-1</f>
        <v>-0.13964096557796601</v>
      </c>
      <c r="AH36" s="20">
        <f>Empresas!AH36/Empresas!AH35-1</f>
        <v>-2.3320474713929062E-2</v>
      </c>
      <c r="AI36" s="21">
        <f>Empresas!AI36/Empresas!AI35-1</f>
        <v>-2.5143715936442268E-2</v>
      </c>
      <c r="AJ36" s="21">
        <f>Empresas!AJ36/Empresas!AJ35-1</f>
        <v>-0.13672358769135651</v>
      </c>
    </row>
    <row r="37" spans="1:36" x14ac:dyDescent="0.35">
      <c r="A37" s="32">
        <v>46266</v>
      </c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0"/>
      <c r="AE37" s="20"/>
      <c r="AF37" s="20"/>
      <c r="AG37" s="19"/>
      <c r="AH37" s="20"/>
      <c r="AI37" s="21"/>
      <c r="AJ37" s="21"/>
    </row>
    <row r="38" spans="1:36" x14ac:dyDescent="0.35">
      <c r="A38" s="32">
        <v>46296</v>
      </c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1"/>
      <c r="AC38" s="20"/>
      <c r="AD38" s="20"/>
      <c r="AE38" s="20"/>
      <c r="AF38" s="20"/>
      <c r="AG38" s="19"/>
      <c r="AH38" s="20"/>
      <c r="AI38" s="21"/>
      <c r="AJ38" s="21"/>
    </row>
    <row r="39" spans="1:36" x14ac:dyDescent="0.35">
      <c r="A39" s="32">
        <v>46327</v>
      </c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0"/>
      <c r="AD39" s="20"/>
      <c r="AE39" s="20"/>
      <c r="AF39" s="20"/>
      <c r="AG39" s="19"/>
      <c r="AH39" s="20"/>
      <c r="AI39" s="21"/>
      <c r="AJ39" s="21"/>
    </row>
    <row r="40" spans="1:36" ht="15" thickBot="1" x14ac:dyDescent="0.4">
      <c r="A40" s="33">
        <v>46357</v>
      </c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4"/>
      <c r="AC40" s="23"/>
      <c r="AD40" s="23"/>
      <c r="AE40" s="23"/>
      <c r="AF40" s="23"/>
      <c r="AG40" s="22"/>
      <c r="AH40" s="23"/>
      <c r="AI40" s="24"/>
      <c r="AJ40" s="24"/>
    </row>
    <row r="41" spans="1:36" x14ac:dyDescent="0.35">
      <c r="A41" s="35" t="s">
        <v>45</v>
      </c>
    </row>
  </sheetData>
  <mergeCells count="4">
    <mergeCell ref="A2:AJ2"/>
    <mergeCell ref="B3:AB3"/>
    <mergeCell ref="AC3:AF3"/>
    <mergeCell ref="AG3:AI3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0"/>
  <sheetViews>
    <sheetView zoomScale="90" zoomScaleNormal="90" workbookViewId="0">
      <pane xSplit="1" ySplit="4" topLeftCell="T29" activePane="bottomRight" state="frozen"/>
      <selection activeCell="A233" sqref="A233:XFD244"/>
      <selection pane="topRight" activeCell="A233" sqref="A233:XFD244"/>
      <selection pane="bottomLeft" activeCell="A233" sqref="A233:XFD244"/>
      <selection pane="bottomRight" activeCell="A2" sqref="A2:AJ2"/>
    </sheetView>
  </sheetViews>
  <sheetFormatPr defaultColWidth="9.1796875" defaultRowHeight="14.5" x14ac:dyDescent="0.35"/>
  <cols>
    <col min="1" max="1" width="19.453125" style="1" customWidth="1"/>
    <col min="2" max="28" width="9.1796875" style="1"/>
    <col min="29" max="29" width="12.81640625" style="1" bestFit="1" customWidth="1"/>
    <col min="30" max="16384" width="9.1796875" style="1"/>
  </cols>
  <sheetData>
    <row r="1" spans="1:36" ht="48.5" customHeight="1" x14ac:dyDescent="0.35"/>
    <row r="2" spans="1:36" ht="20" customHeight="1" thickBot="1" x14ac:dyDescent="0.4">
      <c r="A2" s="40" t="s">
        <v>12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36" ht="15" thickBot="1" x14ac:dyDescent="0.4">
      <c r="B3" s="37" t="s">
        <v>42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37" t="s">
        <v>2</v>
      </c>
      <c r="AD3" s="38"/>
      <c r="AE3" s="38"/>
      <c r="AF3" s="39"/>
      <c r="AG3" s="37" t="s">
        <v>3</v>
      </c>
      <c r="AH3" s="38"/>
      <c r="AI3" s="39"/>
    </row>
    <row r="4" spans="1:36" ht="15" thickBot="1" x14ac:dyDescent="0.4">
      <c r="A4" s="2" t="s">
        <v>10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39</v>
      </c>
      <c r="Z4" s="4" t="s">
        <v>0</v>
      </c>
      <c r="AA4" s="4" t="s">
        <v>40</v>
      </c>
      <c r="AB4" s="5" t="s">
        <v>41</v>
      </c>
      <c r="AC4" s="4" t="s">
        <v>44</v>
      </c>
      <c r="AD4" s="4" t="s">
        <v>4</v>
      </c>
      <c r="AE4" s="4" t="s">
        <v>5</v>
      </c>
      <c r="AF4" s="4" t="s">
        <v>6</v>
      </c>
      <c r="AG4" s="3" t="s">
        <v>7</v>
      </c>
      <c r="AH4" s="4" t="s">
        <v>8</v>
      </c>
      <c r="AI4" s="5" t="s">
        <v>9</v>
      </c>
      <c r="AJ4" s="6" t="s">
        <v>1</v>
      </c>
    </row>
    <row r="5" spans="1:36" x14ac:dyDescent="0.35">
      <c r="A5" s="31">
        <v>45293</v>
      </c>
      <c r="B5" s="25" t="s">
        <v>15</v>
      </c>
      <c r="C5" s="26" t="s">
        <v>15</v>
      </c>
      <c r="D5" s="26" t="s">
        <v>15</v>
      </c>
      <c r="E5" s="26" t="s">
        <v>15</v>
      </c>
      <c r="F5" s="26" t="s">
        <v>15</v>
      </c>
      <c r="G5" s="26" t="s">
        <v>15</v>
      </c>
      <c r="H5" s="26" t="s">
        <v>15</v>
      </c>
      <c r="I5" s="26" t="s">
        <v>15</v>
      </c>
      <c r="J5" s="26" t="s">
        <v>15</v>
      </c>
      <c r="K5" s="26" t="s">
        <v>15</v>
      </c>
      <c r="L5" s="26" t="s">
        <v>15</v>
      </c>
      <c r="M5" s="26" t="s">
        <v>15</v>
      </c>
      <c r="N5" s="26" t="s">
        <v>15</v>
      </c>
      <c r="O5" s="26" t="s">
        <v>15</v>
      </c>
      <c r="P5" s="26" t="s">
        <v>15</v>
      </c>
      <c r="Q5" s="26" t="s">
        <v>15</v>
      </c>
      <c r="R5" s="26" t="s">
        <v>15</v>
      </c>
      <c r="S5" s="26" t="s">
        <v>15</v>
      </c>
      <c r="T5" s="26" t="s">
        <v>15</v>
      </c>
      <c r="U5" s="26" t="s">
        <v>15</v>
      </c>
      <c r="V5" s="26" t="s">
        <v>15</v>
      </c>
      <c r="W5" s="26" t="s">
        <v>15</v>
      </c>
      <c r="X5" s="26" t="s">
        <v>15</v>
      </c>
      <c r="Y5" s="26" t="s">
        <v>15</v>
      </c>
      <c r="Z5" s="26" t="s">
        <v>15</v>
      </c>
      <c r="AA5" s="26" t="s">
        <v>15</v>
      </c>
      <c r="AB5" s="27" t="s">
        <v>15</v>
      </c>
      <c r="AC5" s="25" t="s">
        <v>15</v>
      </c>
      <c r="AD5" s="20" t="s">
        <v>15</v>
      </c>
      <c r="AE5" s="20" t="s">
        <v>15</v>
      </c>
      <c r="AF5" s="20" t="s">
        <v>15</v>
      </c>
      <c r="AG5" s="25" t="s">
        <v>15</v>
      </c>
      <c r="AH5" s="26" t="s">
        <v>15</v>
      </c>
      <c r="AI5" s="27" t="s">
        <v>15</v>
      </c>
      <c r="AJ5" s="27" t="s">
        <v>15</v>
      </c>
    </row>
    <row r="6" spans="1:36" x14ac:dyDescent="0.35">
      <c r="A6" s="32">
        <v>45323</v>
      </c>
      <c r="B6" s="19" t="s">
        <v>15</v>
      </c>
      <c r="C6" s="20" t="s">
        <v>15</v>
      </c>
      <c r="D6" s="20" t="s">
        <v>15</v>
      </c>
      <c r="E6" s="20" t="s">
        <v>15</v>
      </c>
      <c r="F6" s="20" t="s">
        <v>15</v>
      </c>
      <c r="G6" s="20" t="s">
        <v>15</v>
      </c>
      <c r="H6" s="20" t="s">
        <v>15</v>
      </c>
      <c r="I6" s="20" t="s">
        <v>15</v>
      </c>
      <c r="J6" s="20" t="s">
        <v>15</v>
      </c>
      <c r="K6" s="20" t="s">
        <v>15</v>
      </c>
      <c r="L6" s="20" t="s">
        <v>15</v>
      </c>
      <c r="M6" s="20" t="s">
        <v>15</v>
      </c>
      <c r="N6" s="20" t="s">
        <v>15</v>
      </c>
      <c r="O6" s="20" t="s">
        <v>15</v>
      </c>
      <c r="P6" s="20" t="s">
        <v>15</v>
      </c>
      <c r="Q6" s="20" t="s">
        <v>15</v>
      </c>
      <c r="R6" s="20" t="s">
        <v>15</v>
      </c>
      <c r="S6" s="20" t="s">
        <v>15</v>
      </c>
      <c r="T6" s="20" t="s">
        <v>15</v>
      </c>
      <c r="U6" s="20" t="s">
        <v>15</v>
      </c>
      <c r="V6" s="20" t="s">
        <v>15</v>
      </c>
      <c r="W6" s="20" t="s">
        <v>15</v>
      </c>
      <c r="X6" s="20" t="s">
        <v>15</v>
      </c>
      <c r="Y6" s="20" t="s">
        <v>15</v>
      </c>
      <c r="Z6" s="20" t="s">
        <v>15</v>
      </c>
      <c r="AA6" s="20" t="s">
        <v>15</v>
      </c>
      <c r="AB6" s="21" t="s">
        <v>15</v>
      </c>
      <c r="AC6" s="19" t="s">
        <v>15</v>
      </c>
      <c r="AD6" s="20" t="s">
        <v>15</v>
      </c>
      <c r="AE6" s="20" t="s">
        <v>15</v>
      </c>
      <c r="AF6" s="20" t="s">
        <v>15</v>
      </c>
      <c r="AG6" s="19" t="s">
        <v>15</v>
      </c>
      <c r="AH6" s="20" t="s">
        <v>15</v>
      </c>
      <c r="AI6" s="21" t="s">
        <v>15</v>
      </c>
      <c r="AJ6" s="21" t="s">
        <v>15</v>
      </c>
    </row>
    <row r="7" spans="1:36" x14ac:dyDescent="0.35">
      <c r="A7" s="32">
        <v>45352</v>
      </c>
      <c r="B7" s="19" t="s">
        <v>15</v>
      </c>
      <c r="C7" s="20" t="s">
        <v>15</v>
      </c>
      <c r="D7" s="20" t="s">
        <v>15</v>
      </c>
      <c r="E7" s="20" t="s">
        <v>15</v>
      </c>
      <c r="F7" s="20" t="s">
        <v>15</v>
      </c>
      <c r="G7" s="20" t="s">
        <v>15</v>
      </c>
      <c r="H7" s="20" t="s">
        <v>15</v>
      </c>
      <c r="I7" s="20" t="s">
        <v>15</v>
      </c>
      <c r="J7" s="20" t="s">
        <v>15</v>
      </c>
      <c r="K7" s="20" t="s">
        <v>15</v>
      </c>
      <c r="L7" s="20" t="s">
        <v>15</v>
      </c>
      <c r="M7" s="20" t="s">
        <v>15</v>
      </c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0" t="s">
        <v>15</v>
      </c>
      <c r="T7" s="20" t="s">
        <v>15</v>
      </c>
      <c r="U7" s="20" t="s">
        <v>15</v>
      </c>
      <c r="V7" s="20" t="s">
        <v>15</v>
      </c>
      <c r="W7" s="20" t="s">
        <v>15</v>
      </c>
      <c r="X7" s="20" t="s">
        <v>15</v>
      </c>
      <c r="Y7" s="20" t="s">
        <v>15</v>
      </c>
      <c r="Z7" s="20" t="s">
        <v>15</v>
      </c>
      <c r="AA7" s="20" t="s">
        <v>15</v>
      </c>
      <c r="AB7" s="21" t="s">
        <v>15</v>
      </c>
      <c r="AC7" s="19" t="s">
        <v>15</v>
      </c>
      <c r="AD7" s="20" t="s">
        <v>15</v>
      </c>
      <c r="AE7" s="20" t="s">
        <v>15</v>
      </c>
      <c r="AF7" s="20" t="s">
        <v>15</v>
      </c>
      <c r="AG7" s="19" t="s">
        <v>15</v>
      </c>
      <c r="AH7" s="20" t="s">
        <v>15</v>
      </c>
      <c r="AI7" s="21" t="s">
        <v>15</v>
      </c>
      <c r="AJ7" s="21" t="s">
        <v>15</v>
      </c>
    </row>
    <row r="8" spans="1:36" x14ac:dyDescent="0.35">
      <c r="A8" s="32">
        <v>45383</v>
      </c>
      <c r="B8" s="19" t="s">
        <v>15</v>
      </c>
      <c r="C8" s="20" t="s">
        <v>15</v>
      </c>
      <c r="D8" s="20" t="s">
        <v>15</v>
      </c>
      <c r="E8" s="20" t="s">
        <v>15</v>
      </c>
      <c r="F8" s="20" t="s">
        <v>15</v>
      </c>
      <c r="G8" s="20" t="s">
        <v>15</v>
      </c>
      <c r="H8" s="20" t="s">
        <v>15</v>
      </c>
      <c r="I8" s="20" t="s">
        <v>15</v>
      </c>
      <c r="J8" s="20" t="s">
        <v>15</v>
      </c>
      <c r="K8" s="20" t="s">
        <v>15</v>
      </c>
      <c r="L8" s="20" t="s">
        <v>15</v>
      </c>
      <c r="M8" s="20" t="s">
        <v>15</v>
      </c>
      <c r="N8" s="20" t="s">
        <v>15</v>
      </c>
      <c r="O8" s="20" t="s">
        <v>15</v>
      </c>
      <c r="P8" s="20" t="s">
        <v>15</v>
      </c>
      <c r="Q8" s="20" t="s">
        <v>15</v>
      </c>
      <c r="R8" s="20" t="s">
        <v>15</v>
      </c>
      <c r="S8" s="20" t="s">
        <v>15</v>
      </c>
      <c r="T8" s="20" t="s">
        <v>15</v>
      </c>
      <c r="U8" s="20" t="s">
        <v>15</v>
      </c>
      <c r="V8" s="20" t="s">
        <v>15</v>
      </c>
      <c r="W8" s="20" t="s">
        <v>15</v>
      </c>
      <c r="X8" s="20" t="s">
        <v>15</v>
      </c>
      <c r="Y8" s="20" t="s">
        <v>15</v>
      </c>
      <c r="Z8" s="20" t="s">
        <v>15</v>
      </c>
      <c r="AA8" s="20" t="s">
        <v>15</v>
      </c>
      <c r="AB8" s="21" t="s">
        <v>15</v>
      </c>
      <c r="AC8" s="19" t="s">
        <v>15</v>
      </c>
      <c r="AD8" s="20" t="s">
        <v>15</v>
      </c>
      <c r="AE8" s="20" t="s">
        <v>15</v>
      </c>
      <c r="AF8" s="20" t="s">
        <v>15</v>
      </c>
      <c r="AG8" s="19" t="s">
        <v>15</v>
      </c>
      <c r="AH8" s="20" t="s">
        <v>15</v>
      </c>
      <c r="AI8" s="21" t="s">
        <v>15</v>
      </c>
      <c r="AJ8" s="21" t="s">
        <v>15</v>
      </c>
    </row>
    <row r="9" spans="1:36" x14ac:dyDescent="0.35">
      <c r="A9" s="32">
        <v>45413</v>
      </c>
      <c r="B9" s="19" t="s">
        <v>15</v>
      </c>
      <c r="C9" s="20" t="s">
        <v>15</v>
      </c>
      <c r="D9" s="20" t="s">
        <v>15</v>
      </c>
      <c r="E9" s="20" t="s">
        <v>15</v>
      </c>
      <c r="F9" s="20" t="s">
        <v>15</v>
      </c>
      <c r="G9" s="20" t="s">
        <v>15</v>
      </c>
      <c r="H9" s="20" t="s">
        <v>15</v>
      </c>
      <c r="I9" s="20" t="s">
        <v>15</v>
      </c>
      <c r="J9" s="20" t="s">
        <v>15</v>
      </c>
      <c r="K9" s="20" t="s">
        <v>15</v>
      </c>
      <c r="L9" s="20" t="s">
        <v>15</v>
      </c>
      <c r="M9" s="20" t="s">
        <v>15</v>
      </c>
      <c r="N9" s="20" t="s">
        <v>15</v>
      </c>
      <c r="O9" s="20" t="s">
        <v>15</v>
      </c>
      <c r="P9" s="20" t="s">
        <v>15</v>
      </c>
      <c r="Q9" s="20" t="s">
        <v>15</v>
      </c>
      <c r="R9" s="20" t="s">
        <v>15</v>
      </c>
      <c r="S9" s="20" t="s">
        <v>15</v>
      </c>
      <c r="T9" s="20" t="s">
        <v>15</v>
      </c>
      <c r="U9" s="20" t="s">
        <v>15</v>
      </c>
      <c r="V9" s="20" t="s">
        <v>15</v>
      </c>
      <c r="W9" s="20" t="s">
        <v>15</v>
      </c>
      <c r="X9" s="20" t="s">
        <v>15</v>
      </c>
      <c r="Y9" s="20" t="s">
        <v>15</v>
      </c>
      <c r="Z9" s="20" t="s">
        <v>15</v>
      </c>
      <c r="AA9" s="20" t="s">
        <v>15</v>
      </c>
      <c r="AB9" s="21" t="s">
        <v>15</v>
      </c>
      <c r="AC9" s="19" t="s">
        <v>15</v>
      </c>
      <c r="AD9" s="20" t="s">
        <v>15</v>
      </c>
      <c r="AE9" s="20" t="s">
        <v>15</v>
      </c>
      <c r="AF9" s="20" t="s">
        <v>15</v>
      </c>
      <c r="AG9" s="19" t="s">
        <v>15</v>
      </c>
      <c r="AH9" s="20" t="s">
        <v>15</v>
      </c>
      <c r="AI9" s="21" t="s">
        <v>15</v>
      </c>
      <c r="AJ9" s="21" t="s">
        <v>15</v>
      </c>
    </row>
    <row r="10" spans="1:36" x14ac:dyDescent="0.35">
      <c r="A10" s="32">
        <v>45444</v>
      </c>
      <c r="B10" s="19" t="s">
        <v>15</v>
      </c>
      <c r="C10" s="20" t="s">
        <v>15</v>
      </c>
      <c r="D10" s="20" t="s">
        <v>15</v>
      </c>
      <c r="E10" s="20" t="s">
        <v>15</v>
      </c>
      <c r="F10" s="20" t="s">
        <v>15</v>
      </c>
      <c r="G10" s="20" t="s">
        <v>15</v>
      </c>
      <c r="H10" s="20" t="s">
        <v>15</v>
      </c>
      <c r="I10" s="20" t="s">
        <v>15</v>
      </c>
      <c r="J10" s="20" t="s">
        <v>15</v>
      </c>
      <c r="K10" s="20" t="s">
        <v>15</v>
      </c>
      <c r="L10" s="20" t="s">
        <v>15</v>
      </c>
      <c r="M10" s="20" t="s">
        <v>15</v>
      </c>
      <c r="N10" s="20" t="s">
        <v>15</v>
      </c>
      <c r="O10" s="20" t="s">
        <v>15</v>
      </c>
      <c r="P10" s="20" t="s">
        <v>15</v>
      </c>
      <c r="Q10" s="20" t="s">
        <v>15</v>
      </c>
      <c r="R10" s="20" t="s">
        <v>15</v>
      </c>
      <c r="S10" s="20" t="s">
        <v>15</v>
      </c>
      <c r="T10" s="20" t="s">
        <v>15</v>
      </c>
      <c r="U10" s="20" t="s">
        <v>15</v>
      </c>
      <c r="V10" s="20" t="s">
        <v>15</v>
      </c>
      <c r="W10" s="20" t="s">
        <v>15</v>
      </c>
      <c r="X10" s="20" t="s">
        <v>15</v>
      </c>
      <c r="Y10" s="20" t="s">
        <v>15</v>
      </c>
      <c r="Z10" s="20" t="s">
        <v>15</v>
      </c>
      <c r="AA10" s="20" t="s">
        <v>15</v>
      </c>
      <c r="AB10" s="21" t="s">
        <v>15</v>
      </c>
      <c r="AC10" s="19" t="s">
        <v>15</v>
      </c>
      <c r="AD10" s="20" t="s">
        <v>15</v>
      </c>
      <c r="AE10" s="20" t="s">
        <v>15</v>
      </c>
      <c r="AF10" s="20" t="s">
        <v>15</v>
      </c>
      <c r="AG10" s="19" t="s">
        <v>15</v>
      </c>
      <c r="AH10" s="20" t="s">
        <v>15</v>
      </c>
      <c r="AI10" s="21" t="s">
        <v>15</v>
      </c>
      <c r="AJ10" s="21" t="s">
        <v>15</v>
      </c>
    </row>
    <row r="11" spans="1:36" x14ac:dyDescent="0.35">
      <c r="A11" s="32">
        <v>45474</v>
      </c>
      <c r="B11" s="19" t="s">
        <v>15</v>
      </c>
      <c r="C11" s="20" t="s">
        <v>15</v>
      </c>
      <c r="D11" s="20" t="s">
        <v>15</v>
      </c>
      <c r="E11" s="20" t="s">
        <v>15</v>
      </c>
      <c r="F11" s="20" t="s">
        <v>15</v>
      </c>
      <c r="G11" s="20" t="s">
        <v>15</v>
      </c>
      <c r="H11" s="20" t="s">
        <v>15</v>
      </c>
      <c r="I11" s="20" t="s">
        <v>15</v>
      </c>
      <c r="J11" s="20" t="s">
        <v>15</v>
      </c>
      <c r="K11" s="20" t="s">
        <v>15</v>
      </c>
      <c r="L11" s="20" t="s">
        <v>15</v>
      </c>
      <c r="M11" s="20" t="s">
        <v>15</v>
      </c>
      <c r="N11" s="20" t="s">
        <v>15</v>
      </c>
      <c r="O11" s="20" t="s">
        <v>15</v>
      </c>
      <c r="P11" s="20" t="s">
        <v>15</v>
      </c>
      <c r="Q11" s="20" t="s">
        <v>15</v>
      </c>
      <c r="R11" s="20" t="s">
        <v>15</v>
      </c>
      <c r="S11" s="20" t="s">
        <v>15</v>
      </c>
      <c r="T11" s="20" t="s">
        <v>15</v>
      </c>
      <c r="U11" s="20" t="s">
        <v>15</v>
      </c>
      <c r="V11" s="20" t="s">
        <v>15</v>
      </c>
      <c r="W11" s="20" t="s">
        <v>15</v>
      </c>
      <c r="X11" s="20" t="s">
        <v>15</v>
      </c>
      <c r="Y11" s="20" t="s">
        <v>15</v>
      </c>
      <c r="Z11" s="20" t="s">
        <v>15</v>
      </c>
      <c r="AA11" s="20" t="s">
        <v>15</v>
      </c>
      <c r="AB11" s="21" t="s">
        <v>15</v>
      </c>
      <c r="AC11" s="19" t="s">
        <v>15</v>
      </c>
      <c r="AD11" s="20" t="s">
        <v>15</v>
      </c>
      <c r="AE11" s="20" t="s">
        <v>15</v>
      </c>
      <c r="AF11" s="20" t="s">
        <v>15</v>
      </c>
      <c r="AG11" s="19" t="s">
        <v>15</v>
      </c>
      <c r="AH11" s="20" t="s">
        <v>15</v>
      </c>
      <c r="AI11" s="21" t="s">
        <v>15</v>
      </c>
      <c r="AJ11" s="21" t="s">
        <v>15</v>
      </c>
    </row>
    <row r="12" spans="1:36" x14ac:dyDescent="0.35">
      <c r="A12" s="32">
        <v>45505</v>
      </c>
      <c r="B12" s="19" t="s">
        <v>15</v>
      </c>
      <c r="C12" s="20" t="s">
        <v>15</v>
      </c>
      <c r="D12" s="20" t="s">
        <v>15</v>
      </c>
      <c r="E12" s="20" t="s">
        <v>15</v>
      </c>
      <c r="F12" s="20" t="s">
        <v>15</v>
      </c>
      <c r="G12" s="20" t="s">
        <v>15</v>
      </c>
      <c r="H12" s="20" t="s">
        <v>15</v>
      </c>
      <c r="I12" s="20" t="s">
        <v>15</v>
      </c>
      <c r="J12" s="20" t="s">
        <v>15</v>
      </c>
      <c r="K12" s="20" t="s">
        <v>15</v>
      </c>
      <c r="L12" s="20" t="s">
        <v>15</v>
      </c>
      <c r="M12" s="20" t="s">
        <v>15</v>
      </c>
      <c r="N12" s="20" t="s">
        <v>15</v>
      </c>
      <c r="O12" s="20" t="s">
        <v>15</v>
      </c>
      <c r="P12" s="20" t="s">
        <v>15</v>
      </c>
      <c r="Q12" s="20" t="s">
        <v>15</v>
      </c>
      <c r="R12" s="20" t="s">
        <v>15</v>
      </c>
      <c r="S12" s="20" t="s">
        <v>15</v>
      </c>
      <c r="T12" s="20" t="s">
        <v>15</v>
      </c>
      <c r="U12" s="20" t="s">
        <v>15</v>
      </c>
      <c r="V12" s="20" t="s">
        <v>15</v>
      </c>
      <c r="W12" s="20" t="s">
        <v>15</v>
      </c>
      <c r="X12" s="20" t="s">
        <v>15</v>
      </c>
      <c r="Y12" s="20" t="s">
        <v>15</v>
      </c>
      <c r="Z12" s="20" t="s">
        <v>15</v>
      </c>
      <c r="AA12" s="20" t="s">
        <v>15</v>
      </c>
      <c r="AB12" s="21" t="s">
        <v>15</v>
      </c>
      <c r="AC12" s="19" t="s">
        <v>15</v>
      </c>
      <c r="AD12" s="20" t="s">
        <v>15</v>
      </c>
      <c r="AE12" s="20" t="s">
        <v>15</v>
      </c>
      <c r="AF12" s="20" t="s">
        <v>15</v>
      </c>
      <c r="AG12" s="19" t="s">
        <v>15</v>
      </c>
      <c r="AH12" s="20" t="s">
        <v>15</v>
      </c>
      <c r="AI12" s="21" t="s">
        <v>15</v>
      </c>
      <c r="AJ12" s="21" t="s">
        <v>15</v>
      </c>
    </row>
    <row r="13" spans="1:36" x14ac:dyDescent="0.35">
      <c r="A13" s="32">
        <v>45536</v>
      </c>
      <c r="B13" s="19" t="s">
        <v>15</v>
      </c>
      <c r="C13" s="20" t="s">
        <v>15</v>
      </c>
      <c r="D13" s="20" t="s">
        <v>15</v>
      </c>
      <c r="E13" s="20" t="s">
        <v>15</v>
      </c>
      <c r="F13" s="20" t="s">
        <v>15</v>
      </c>
      <c r="G13" s="20" t="s">
        <v>15</v>
      </c>
      <c r="H13" s="20" t="s">
        <v>15</v>
      </c>
      <c r="I13" s="20" t="s">
        <v>15</v>
      </c>
      <c r="J13" s="20" t="s">
        <v>15</v>
      </c>
      <c r="K13" s="20" t="s">
        <v>15</v>
      </c>
      <c r="L13" s="20" t="s">
        <v>15</v>
      </c>
      <c r="M13" s="20" t="s">
        <v>15</v>
      </c>
      <c r="N13" s="20" t="s">
        <v>15</v>
      </c>
      <c r="O13" s="20" t="s">
        <v>15</v>
      </c>
      <c r="P13" s="20" t="s">
        <v>15</v>
      </c>
      <c r="Q13" s="20" t="s">
        <v>15</v>
      </c>
      <c r="R13" s="20" t="s">
        <v>15</v>
      </c>
      <c r="S13" s="20" t="s">
        <v>15</v>
      </c>
      <c r="T13" s="20" t="s">
        <v>15</v>
      </c>
      <c r="U13" s="20" t="s">
        <v>15</v>
      </c>
      <c r="V13" s="20" t="s">
        <v>15</v>
      </c>
      <c r="W13" s="20" t="s">
        <v>15</v>
      </c>
      <c r="X13" s="20" t="s">
        <v>15</v>
      </c>
      <c r="Y13" s="20" t="s">
        <v>15</v>
      </c>
      <c r="Z13" s="20" t="s">
        <v>15</v>
      </c>
      <c r="AA13" s="20" t="s">
        <v>15</v>
      </c>
      <c r="AB13" s="21" t="s">
        <v>15</v>
      </c>
      <c r="AC13" s="19" t="s">
        <v>15</v>
      </c>
      <c r="AD13" s="20" t="s">
        <v>15</v>
      </c>
      <c r="AE13" s="20" t="s">
        <v>15</v>
      </c>
      <c r="AF13" s="20" t="s">
        <v>15</v>
      </c>
      <c r="AG13" s="19" t="s">
        <v>15</v>
      </c>
      <c r="AH13" s="20" t="s">
        <v>15</v>
      </c>
      <c r="AI13" s="21" t="s">
        <v>15</v>
      </c>
      <c r="AJ13" s="21" t="s">
        <v>15</v>
      </c>
    </row>
    <row r="14" spans="1:36" x14ac:dyDescent="0.35">
      <c r="A14" s="32">
        <v>45566</v>
      </c>
      <c r="B14" s="19" t="s">
        <v>15</v>
      </c>
      <c r="C14" s="20" t="s">
        <v>15</v>
      </c>
      <c r="D14" s="20" t="s">
        <v>15</v>
      </c>
      <c r="E14" s="20" t="s">
        <v>15</v>
      </c>
      <c r="F14" s="20" t="s">
        <v>15</v>
      </c>
      <c r="G14" s="20" t="s">
        <v>15</v>
      </c>
      <c r="H14" s="20" t="s">
        <v>15</v>
      </c>
      <c r="I14" s="20" t="s">
        <v>15</v>
      </c>
      <c r="J14" s="20" t="s">
        <v>15</v>
      </c>
      <c r="K14" s="20" t="s">
        <v>15</v>
      </c>
      <c r="L14" s="20" t="s">
        <v>15</v>
      </c>
      <c r="M14" s="20" t="s">
        <v>15</v>
      </c>
      <c r="N14" s="20" t="s">
        <v>15</v>
      </c>
      <c r="O14" s="20" t="s">
        <v>15</v>
      </c>
      <c r="P14" s="20" t="s">
        <v>15</v>
      </c>
      <c r="Q14" s="20" t="s">
        <v>15</v>
      </c>
      <c r="R14" s="20" t="s">
        <v>15</v>
      </c>
      <c r="S14" s="20" t="s">
        <v>15</v>
      </c>
      <c r="T14" s="20" t="s">
        <v>15</v>
      </c>
      <c r="U14" s="20" t="s">
        <v>15</v>
      </c>
      <c r="V14" s="20" t="s">
        <v>15</v>
      </c>
      <c r="W14" s="20" t="s">
        <v>15</v>
      </c>
      <c r="X14" s="20" t="s">
        <v>15</v>
      </c>
      <c r="Y14" s="20" t="s">
        <v>15</v>
      </c>
      <c r="Z14" s="20" t="s">
        <v>15</v>
      </c>
      <c r="AA14" s="20" t="s">
        <v>15</v>
      </c>
      <c r="AB14" s="21" t="s">
        <v>15</v>
      </c>
      <c r="AC14" s="19" t="s">
        <v>15</v>
      </c>
      <c r="AD14" s="20" t="s">
        <v>15</v>
      </c>
      <c r="AE14" s="20" t="s">
        <v>15</v>
      </c>
      <c r="AF14" s="20" t="s">
        <v>15</v>
      </c>
      <c r="AG14" s="19" t="s">
        <v>15</v>
      </c>
      <c r="AH14" s="20" t="s">
        <v>15</v>
      </c>
      <c r="AI14" s="21" t="s">
        <v>15</v>
      </c>
      <c r="AJ14" s="21" t="s">
        <v>15</v>
      </c>
    </row>
    <row r="15" spans="1:36" x14ac:dyDescent="0.35">
      <c r="A15" s="32">
        <v>45597</v>
      </c>
      <c r="B15" s="19" t="s">
        <v>15</v>
      </c>
      <c r="C15" s="20" t="s">
        <v>15</v>
      </c>
      <c r="D15" s="20" t="s">
        <v>15</v>
      </c>
      <c r="E15" s="20" t="s">
        <v>15</v>
      </c>
      <c r="F15" s="20" t="s">
        <v>15</v>
      </c>
      <c r="G15" s="20" t="s">
        <v>15</v>
      </c>
      <c r="H15" s="20" t="s">
        <v>15</v>
      </c>
      <c r="I15" s="20" t="s">
        <v>15</v>
      </c>
      <c r="J15" s="20" t="s">
        <v>15</v>
      </c>
      <c r="K15" s="20" t="s">
        <v>15</v>
      </c>
      <c r="L15" s="20" t="s">
        <v>15</v>
      </c>
      <c r="M15" s="20" t="s">
        <v>15</v>
      </c>
      <c r="N15" s="20" t="s">
        <v>15</v>
      </c>
      <c r="O15" s="20" t="s">
        <v>15</v>
      </c>
      <c r="P15" s="20" t="s">
        <v>15</v>
      </c>
      <c r="Q15" s="20" t="s">
        <v>15</v>
      </c>
      <c r="R15" s="20" t="s">
        <v>15</v>
      </c>
      <c r="S15" s="20" t="s">
        <v>15</v>
      </c>
      <c r="T15" s="20" t="s">
        <v>15</v>
      </c>
      <c r="U15" s="20" t="s">
        <v>15</v>
      </c>
      <c r="V15" s="20" t="s">
        <v>15</v>
      </c>
      <c r="W15" s="20" t="s">
        <v>15</v>
      </c>
      <c r="X15" s="20" t="s">
        <v>15</v>
      </c>
      <c r="Y15" s="20" t="s">
        <v>15</v>
      </c>
      <c r="Z15" s="20" t="s">
        <v>15</v>
      </c>
      <c r="AA15" s="20" t="s">
        <v>15</v>
      </c>
      <c r="AB15" s="21" t="s">
        <v>15</v>
      </c>
      <c r="AC15" s="19" t="s">
        <v>15</v>
      </c>
      <c r="AD15" s="20" t="s">
        <v>15</v>
      </c>
      <c r="AE15" s="20" t="s">
        <v>15</v>
      </c>
      <c r="AF15" s="20" t="s">
        <v>15</v>
      </c>
      <c r="AG15" s="19" t="s">
        <v>15</v>
      </c>
      <c r="AH15" s="20" t="s">
        <v>15</v>
      </c>
      <c r="AI15" s="21" t="s">
        <v>15</v>
      </c>
      <c r="AJ15" s="21" t="s">
        <v>15</v>
      </c>
    </row>
    <row r="16" spans="1:36" ht="15" thickBot="1" x14ac:dyDescent="0.4">
      <c r="A16" s="33">
        <v>45627</v>
      </c>
      <c r="B16" s="22" t="s">
        <v>15</v>
      </c>
      <c r="C16" s="23" t="s">
        <v>15</v>
      </c>
      <c r="D16" s="23" t="s">
        <v>15</v>
      </c>
      <c r="E16" s="23" t="s">
        <v>15</v>
      </c>
      <c r="F16" s="23" t="s">
        <v>15</v>
      </c>
      <c r="G16" s="23" t="s">
        <v>15</v>
      </c>
      <c r="H16" s="23" t="s">
        <v>15</v>
      </c>
      <c r="I16" s="23" t="s">
        <v>15</v>
      </c>
      <c r="J16" s="23" t="s">
        <v>15</v>
      </c>
      <c r="K16" s="23" t="s">
        <v>15</v>
      </c>
      <c r="L16" s="23" t="s">
        <v>15</v>
      </c>
      <c r="M16" s="23" t="s">
        <v>15</v>
      </c>
      <c r="N16" s="23" t="s">
        <v>15</v>
      </c>
      <c r="O16" s="23" t="s">
        <v>15</v>
      </c>
      <c r="P16" s="23" t="s">
        <v>15</v>
      </c>
      <c r="Q16" s="23" t="s">
        <v>15</v>
      </c>
      <c r="R16" s="23" t="s">
        <v>15</v>
      </c>
      <c r="S16" s="23" t="s">
        <v>15</v>
      </c>
      <c r="T16" s="23" t="s">
        <v>15</v>
      </c>
      <c r="U16" s="23" t="s">
        <v>15</v>
      </c>
      <c r="V16" s="23" t="s">
        <v>15</v>
      </c>
      <c r="W16" s="23" t="s">
        <v>15</v>
      </c>
      <c r="X16" s="23" t="s">
        <v>15</v>
      </c>
      <c r="Y16" s="23" t="s">
        <v>15</v>
      </c>
      <c r="Z16" s="23" t="s">
        <v>15</v>
      </c>
      <c r="AA16" s="23" t="s">
        <v>15</v>
      </c>
      <c r="AB16" s="24" t="s">
        <v>15</v>
      </c>
      <c r="AC16" s="22" t="s">
        <v>15</v>
      </c>
      <c r="AD16" s="23" t="s">
        <v>15</v>
      </c>
      <c r="AE16" s="23" t="s">
        <v>15</v>
      </c>
      <c r="AF16" s="23" t="s">
        <v>15</v>
      </c>
      <c r="AG16" s="22" t="s">
        <v>15</v>
      </c>
      <c r="AH16" s="23" t="s">
        <v>15</v>
      </c>
      <c r="AI16" s="24" t="s">
        <v>15</v>
      </c>
      <c r="AJ16" s="24" t="s">
        <v>15</v>
      </c>
    </row>
    <row r="17" spans="1:36" x14ac:dyDescent="0.35">
      <c r="A17" s="31">
        <v>45659</v>
      </c>
      <c r="B17" s="25">
        <f>Empresas!B17/Empresas!B5-1</f>
        <v>0.11036368186372791</v>
      </c>
      <c r="C17" s="26">
        <f>Empresas!C17/Empresas!C5-1</f>
        <v>5.3557301645404953E-2</v>
      </c>
      <c r="D17" s="26">
        <f>Empresas!D17/Empresas!D5-1</f>
        <v>0.11913713791780056</v>
      </c>
      <c r="E17" s="26">
        <f>Empresas!E17/Empresas!E5-1</f>
        <v>0.16761573198488322</v>
      </c>
      <c r="F17" s="26">
        <f>Empresas!F17/Empresas!F5-1</f>
        <v>6.5517673529405407E-2</v>
      </c>
      <c r="G17" s="26">
        <f>Empresas!G17/Empresas!G5-1</f>
        <v>0.15174518402636172</v>
      </c>
      <c r="H17" s="26">
        <f>Empresas!H17/Empresas!H5-1</f>
        <v>8.8473142367986979E-2</v>
      </c>
      <c r="I17" s="26">
        <f>Empresas!I17/Empresas!I5-1</f>
        <v>8.7395018470035835E-2</v>
      </c>
      <c r="J17" s="26">
        <f>Empresas!J17/Empresas!J5-1</f>
        <v>0.11631697349553294</v>
      </c>
      <c r="K17" s="26">
        <f>Empresas!K17/Empresas!K5-1</f>
        <v>0.11103287179458921</v>
      </c>
      <c r="L17" s="26">
        <f>Empresas!L17/Empresas!L5-1</f>
        <v>9.9370795028593362E-2</v>
      </c>
      <c r="M17" s="26">
        <f>Empresas!M17/Empresas!M5-1</f>
        <v>0.19486449686607177</v>
      </c>
      <c r="N17" s="26">
        <f>Empresas!N17/Empresas!N5-1</f>
        <v>0.2220001133873355</v>
      </c>
      <c r="O17" s="26">
        <f>Empresas!O17/Empresas!O5-1</f>
        <v>0.14973587023679968</v>
      </c>
      <c r="P17" s="26">
        <f>Empresas!P17/Empresas!P5-1</f>
        <v>0.10568675633352775</v>
      </c>
      <c r="Q17" s="26">
        <f>Empresas!Q17/Empresas!Q5-1</f>
        <v>7.2821354341825462E-2</v>
      </c>
      <c r="R17" s="26">
        <f>Empresas!R17/Empresas!R5-1</f>
        <v>0.10148408282194166</v>
      </c>
      <c r="S17" s="26">
        <f>Empresas!S17/Empresas!S5-1</f>
        <v>0.14621769818808872</v>
      </c>
      <c r="T17" s="26">
        <f>Empresas!T17/Empresas!T5-1</f>
        <v>7.4989889303407331E-3</v>
      </c>
      <c r="U17" s="26">
        <f>Empresas!U17/Empresas!U5-1</f>
        <v>0.17906380400726518</v>
      </c>
      <c r="V17" s="26">
        <f>Empresas!V17/Empresas!V5-1</f>
        <v>8.84176723623189E-2</v>
      </c>
      <c r="W17" s="26">
        <f>Empresas!W17/Empresas!W5-1</f>
        <v>4.1251140884290827E-2</v>
      </c>
      <c r="X17" s="26">
        <f>Empresas!X17/Empresas!X5-1</f>
        <v>0.13145963786696679</v>
      </c>
      <c r="Y17" s="26">
        <f>Empresas!Y17/Empresas!Y5-1</f>
        <v>0.16137420505331734</v>
      </c>
      <c r="Z17" s="26">
        <f>Empresas!Z17/Empresas!Z5-1</f>
        <v>0.15028278310536858</v>
      </c>
      <c r="AA17" s="26">
        <f>Empresas!AA17/Empresas!AA5-1</f>
        <v>0.11159304266046477</v>
      </c>
      <c r="AB17" s="26">
        <f>Empresas!AB17/Empresas!AB5-1</f>
        <v>0.1290414697219</v>
      </c>
      <c r="AC17" s="25">
        <f>Empresas!AC17/Empresas!AC5-1</f>
        <v>0.14098537891268825</v>
      </c>
      <c r="AD17" s="20">
        <f>Empresas!AD17/Empresas!AD5-1</f>
        <v>0.10818180740365468</v>
      </c>
      <c r="AE17" s="20">
        <f>Empresas!AE17/Empresas!AE5-1</f>
        <v>6.6536512819154847E-2</v>
      </c>
      <c r="AF17" s="20">
        <f>Empresas!AF17/Empresas!AF5-1</f>
        <v>0.16967574764817761</v>
      </c>
      <c r="AG17" s="25">
        <f>Empresas!AG17/Empresas!AG5-1</f>
        <v>0.11705725739203254</v>
      </c>
      <c r="AH17" s="26">
        <f>Empresas!AH17/Empresas!AH5-1</f>
        <v>-8.7619062889997545E-3</v>
      </c>
      <c r="AI17" s="27">
        <f>Empresas!AI17/Empresas!AI5-1</f>
        <v>-1.85502712115726E-2</v>
      </c>
      <c r="AJ17" s="28">
        <f>Empresas!AJ17/Empresas!AJ5-1</f>
        <v>0.11292642730795999</v>
      </c>
    </row>
    <row r="18" spans="1:36" x14ac:dyDescent="0.35">
      <c r="A18" s="32">
        <v>45689</v>
      </c>
      <c r="B18" s="19">
        <f>Empresas!B18/Empresas!B6-1</f>
        <v>4.9046889402882821E-2</v>
      </c>
      <c r="C18" s="20">
        <f>Empresas!C18/Empresas!C6-1</f>
        <v>2.6742696460578141E-2</v>
      </c>
      <c r="D18" s="20">
        <f>Empresas!D18/Empresas!D6-1</f>
        <v>0.12900793963663704</v>
      </c>
      <c r="E18" s="20">
        <f>Empresas!E18/Empresas!E6-1</f>
        <v>-9.144572134574247E-2</v>
      </c>
      <c r="F18" s="20">
        <f>Empresas!F18/Empresas!F6-1</f>
        <v>0.11670179333285868</v>
      </c>
      <c r="G18" s="20">
        <f>Empresas!G18/Empresas!G6-1</f>
        <v>0.17576988954532813</v>
      </c>
      <c r="H18" s="20">
        <f>Empresas!H18/Empresas!H6-1</f>
        <v>0.13191910065804446</v>
      </c>
      <c r="I18" s="20">
        <f>Empresas!I18/Empresas!I6-1</f>
        <v>4.750949596159737E-3</v>
      </c>
      <c r="J18" s="20">
        <f>Empresas!J18/Empresas!J6-1</f>
        <v>0.12171381920962943</v>
      </c>
      <c r="K18" s="20">
        <f>Empresas!K18/Empresas!K6-1</f>
        <v>0.17163400524247319</v>
      </c>
      <c r="L18" s="20">
        <f>Empresas!L18/Empresas!L6-1</f>
        <v>0.12084086217210377</v>
      </c>
      <c r="M18" s="20">
        <f>Empresas!M18/Empresas!M6-1</f>
        <v>0.18715077892364818</v>
      </c>
      <c r="N18" s="20">
        <f>Empresas!N18/Empresas!N6-1</f>
        <v>0.11402252391572176</v>
      </c>
      <c r="O18" s="20">
        <f>Empresas!O18/Empresas!O6-1</f>
        <v>0.16734227636170318</v>
      </c>
      <c r="P18" s="20">
        <f>Empresas!P18/Empresas!P6-1</f>
        <v>0.12005069086932352</v>
      </c>
      <c r="Q18" s="20">
        <f>Empresas!Q18/Empresas!Q6-1</f>
        <v>7.8730402934484855E-2</v>
      </c>
      <c r="R18" s="20">
        <f>Empresas!R18/Empresas!R6-1</f>
        <v>0.11770726205971371</v>
      </c>
      <c r="S18" s="20">
        <f>Empresas!S18/Empresas!S6-1</f>
        <v>0.12136456348533176</v>
      </c>
      <c r="T18" s="20">
        <f>Empresas!T18/Empresas!T6-1</f>
        <v>0.10114595217814815</v>
      </c>
      <c r="U18" s="20">
        <f>Empresas!U18/Empresas!U6-1</f>
        <v>0.17944445771728135</v>
      </c>
      <c r="V18" s="20">
        <f>Empresas!V18/Empresas!V6-1</f>
        <v>-0.10445139565451123</v>
      </c>
      <c r="W18" s="20">
        <f>Empresas!W18/Empresas!W6-1</f>
        <v>0.17310033718778994</v>
      </c>
      <c r="X18" s="20">
        <f>Empresas!X18/Empresas!X6-1</f>
        <v>2.859836194861165E-2</v>
      </c>
      <c r="Y18" s="20">
        <f>Empresas!Y18/Empresas!Y6-1</f>
        <v>0.32160651209122881</v>
      </c>
      <c r="Z18" s="20">
        <f>Empresas!Z18/Empresas!Z6-1</f>
        <v>0.17118008476933522</v>
      </c>
      <c r="AA18" s="20">
        <f>Empresas!AA18/Empresas!AA6-1</f>
        <v>0.1481537275543745</v>
      </c>
      <c r="AB18" s="20">
        <f>Empresas!AB18/Empresas!AB6-1</f>
        <v>0.11688583634348748</v>
      </c>
      <c r="AC18" s="19">
        <f>Empresas!AC18/Empresas!AC6-1</f>
        <v>0.13302834819707599</v>
      </c>
      <c r="AD18" s="20">
        <f>Empresas!AD18/Empresas!AD6-1</f>
        <v>0.15166937029333982</v>
      </c>
      <c r="AE18" s="20">
        <f>Empresas!AE18/Empresas!AE6-1</f>
        <v>7.527181686100648E-2</v>
      </c>
      <c r="AF18" s="20">
        <f>Empresas!AF18/Empresas!AF6-1</f>
        <v>0.19149352906052175</v>
      </c>
      <c r="AG18" s="19">
        <f>Empresas!AG18/Empresas!AG6-1</f>
        <v>0.13542381268646864</v>
      </c>
      <c r="AH18" s="20">
        <f>Empresas!AH18/Empresas!AH6-1</f>
        <v>1.5527360525223743E-2</v>
      </c>
      <c r="AI18" s="21">
        <f>Empresas!AI18/Empresas!AI6-1</f>
        <v>6.2069436735980865E-3</v>
      </c>
      <c r="AJ18" s="21">
        <f>Empresas!AJ18/Empresas!AJ6-1</f>
        <v>0.13141671104539054</v>
      </c>
    </row>
    <row r="19" spans="1:36" x14ac:dyDescent="0.35">
      <c r="A19" s="32">
        <v>45717</v>
      </c>
      <c r="B19" s="19">
        <f>Empresas!B19/Empresas!B7-1</f>
        <v>-3.616896787390611E-2</v>
      </c>
      <c r="C19" s="20">
        <f>Empresas!C19/Empresas!C7-1</f>
        <v>-3.6335376748290793E-2</v>
      </c>
      <c r="D19" s="20">
        <f>Empresas!D19/Empresas!D7-1</f>
        <v>-8.7735470349286082E-2</v>
      </c>
      <c r="E19" s="20">
        <f>Empresas!E19/Empresas!E7-1</f>
        <v>-1.349634692700441E-3</v>
      </c>
      <c r="F19" s="20">
        <f>Empresas!F19/Empresas!F7-1</f>
        <v>3.8372402018536089E-3</v>
      </c>
      <c r="G19" s="20">
        <f>Empresas!G19/Empresas!G7-1</f>
        <v>8.058976978909449E-3</v>
      </c>
      <c r="H19" s="20">
        <f>Empresas!H19/Empresas!H7-1</f>
        <v>-8.78583723584625E-4</v>
      </c>
      <c r="I19" s="20">
        <f>Empresas!I19/Empresas!I7-1</f>
        <v>-0.27843814011405799</v>
      </c>
      <c r="J19" s="20">
        <f>Empresas!J19/Empresas!J7-1</f>
        <v>2.6981648421163573E-2</v>
      </c>
      <c r="K19" s="20">
        <f>Empresas!K19/Empresas!K7-1</f>
        <v>-4.5043733781956363E-2</v>
      </c>
      <c r="L19" s="20">
        <f>Empresas!L19/Empresas!L7-1</f>
        <v>2.5139886576421411E-2</v>
      </c>
      <c r="M19" s="20">
        <f>Empresas!M19/Empresas!M7-1</f>
        <v>0.13910491667327363</v>
      </c>
      <c r="N19" s="20">
        <f>Empresas!N19/Empresas!N7-1</f>
        <v>0.12436819800840704</v>
      </c>
      <c r="O19" s="20">
        <f>Empresas!O19/Empresas!O7-1</f>
        <v>3.3579797299690295E-2</v>
      </c>
      <c r="P19" s="20">
        <f>Empresas!P19/Empresas!P7-1</f>
        <v>2.1586175757590365E-2</v>
      </c>
      <c r="Q19" s="20">
        <f>Empresas!Q19/Empresas!Q7-1</f>
        <v>-3.813013600611137E-2</v>
      </c>
      <c r="R19" s="20">
        <f>Empresas!R19/Empresas!R7-1</f>
        <v>-2.9039737678371313E-3</v>
      </c>
      <c r="S19" s="20">
        <f>Empresas!S19/Empresas!S7-1</f>
        <v>0.13097454902147976</v>
      </c>
      <c r="T19" s="20">
        <f>Empresas!T19/Empresas!T7-1</f>
        <v>-0.17257132659761087</v>
      </c>
      <c r="U19" s="20">
        <f>Empresas!U19/Empresas!U7-1</f>
        <v>0.20626246088953049</v>
      </c>
      <c r="V19" s="20">
        <f>Empresas!V19/Empresas!V7-1</f>
        <v>6.4177522165162815E-2</v>
      </c>
      <c r="W19" s="20">
        <f>Empresas!W19/Empresas!W7-1</f>
        <v>6.9210109321586E-2</v>
      </c>
      <c r="X19" s="20">
        <f>Empresas!X19/Empresas!X7-1</f>
        <v>8.5724724228585236E-2</v>
      </c>
      <c r="Y19" s="20">
        <f>Empresas!Y19/Empresas!Y7-1</f>
        <v>0.34901521829984961</v>
      </c>
      <c r="Z19" s="20">
        <f>Empresas!Z19/Empresas!Z7-1</f>
        <v>3.9521660252289204E-2</v>
      </c>
      <c r="AA19" s="20">
        <f>Empresas!AA19/Empresas!AA7-1</f>
        <v>-6.5665908425110109E-2</v>
      </c>
      <c r="AB19" s="20">
        <f>Empresas!AB19/Empresas!AB7-1</f>
        <v>3.6232960809949422E-2</v>
      </c>
      <c r="AC19" s="19">
        <f>Empresas!AC19/Empresas!AC7-1</f>
        <v>5.271102379183934E-2</v>
      </c>
      <c r="AD19" s="20">
        <f>Empresas!AD19/Empresas!AD7-1</f>
        <v>3.6964745432502388E-2</v>
      </c>
      <c r="AE19" s="20">
        <f>Empresas!AE19/Empresas!AE7-1</f>
        <v>-1.8634578096782928E-2</v>
      </c>
      <c r="AF19" s="20">
        <f>Empresas!AF19/Empresas!AF7-1</f>
        <v>2.8214104630878811E-2</v>
      </c>
      <c r="AG19" s="19">
        <f>Empresas!AG19/Empresas!AG7-1</f>
        <v>1.1221413810489578E-2</v>
      </c>
      <c r="AH19" s="20">
        <f>Empresas!AH19/Empresas!AH7-1</f>
        <v>-4.8343188661661096E-2</v>
      </c>
      <c r="AI19" s="21">
        <f>Empresas!AI19/Empresas!AI7-1</f>
        <v>-4.6996976986349637E-2</v>
      </c>
      <c r="AJ19" s="21">
        <f>Empresas!AJ19/Empresas!AJ7-1</f>
        <v>9.2696776801630687E-3</v>
      </c>
    </row>
    <row r="20" spans="1:36" x14ac:dyDescent="0.35">
      <c r="A20" s="32">
        <v>45748</v>
      </c>
      <c r="B20" s="19">
        <f>Empresas!B20/Empresas!B8-1</f>
        <v>3.0167943167891398E-2</v>
      </c>
      <c r="C20" s="20">
        <f>Empresas!C20/Empresas!C8-1</f>
        <v>-5.055009305271585E-3</v>
      </c>
      <c r="D20" s="20">
        <f>Empresas!D20/Empresas!D8-1</f>
        <v>4.8055843839661661E-2</v>
      </c>
      <c r="E20" s="20">
        <f>Empresas!E20/Empresas!E8-1</f>
        <v>7.0820647849882512E-2</v>
      </c>
      <c r="F20" s="20">
        <f>Empresas!F20/Empresas!F8-1</f>
        <v>9.7016838262209415E-3</v>
      </c>
      <c r="G20" s="20">
        <f>Empresas!G20/Empresas!G8-1</f>
        <v>-5.6796303357985911E-2</v>
      </c>
      <c r="H20" s="20">
        <f>Empresas!H20/Empresas!H8-1</f>
        <v>0.13700129347540058</v>
      </c>
      <c r="I20" s="20">
        <f>Empresas!I20/Empresas!I8-1</f>
        <v>4.5418987986490134E-2</v>
      </c>
      <c r="J20" s="20">
        <f>Empresas!J20/Empresas!J8-1</f>
        <v>1.7138424727447088E-2</v>
      </c>
      <c r="K20" s="20">
        <f>Empresas!K20/Empresas!K8-1</f>
        <v>1.7375890123209947E-2</v>
      </c>
      <c r="L20" s="20">
        <f>Empresas!L20/Empresas!L8-1</f>
        <v>2.7639569332407188E-2</v>
      </c>
      <c r="M20" s="20">
        <f>Empresas!M20/Empresas!M8-1</f>
        <v>0.16410631138073062</v>
      </c>
      <c r="N20" s="20">
        <f>Empresas!N20/Empresas!N8-1</f>
        <v>9.1871902318911847E-2</v>
      </c>
      <c r="O20" s="20">
        <f>Empresas!O20/Empresas!O8-1</f>
        <v>6.6749732212068258E-2</v>
      </c>
      <c r="P20" s="20">
        <f>Empresas!P20/Empresas!P8-1</f>
        <v>2.2502376857868267E-2</v>
      </c>
      <c r="Q20" s="20">
        <f>Empresas!Q20/Empresas!Q8-1</f>
        <v>-4.9357311399181203E-2</v>
      </c>
      <c r="R20" s="20">
        <f>Empresas!R20/Empresas!R8-1</f>
        <v>-7.2471102527871256E-4</v>
      </c>
      <c r="S20" s="20">
        <f>Empresas!S20/Empresas!S8-1</f>
        <v>5.8217043053013562E-2</v>
      </c>
      <c r="T20" s="20">
        <f>Empresas!T20/Empresas!T8-1</f>
        <v>0.15539121800055944</v>
      </c>
      <c r="U20" s="20">
        <f>Empresas!U20/Empresas!U8-1</f>
        <v>1.6006284981765262E-2</v>
      </c>
      <c r="V20" s="20">
        <f>Empresas!V20/Empresas!V8-1</f>
        <v>-9.0026352312827518E-3</v>
      </c>
      <c r="W20" s="20">
        <f>Empresas!W20/Empresas!W8-1</f>
        <v>7.4363886918160205E-2</v>
      </c>
      <c r="X20" s="20">
        <f>Empresas!X20/Empresas!X8-1</f>
        <v>-3.9566036834887686E-2</v>
      </c>
      <c r="Y20" s="20">
        <f>Empresas!Y20/Empresas!Y8-1</f>
        <v>7.4632440266326983E-2</v>
      </c>
      <c r="Z20" s="20">
        <f>Empresas!Z20/Empresas!Z8-1</f>
        <v>3.2370281192005246E-2</v>
      </c>
      <c r="AA20" s="20">
        <f>Empresas!AA20/Empresas!AA8-1</f>
        <v>-7.0658298929021868E-2</v>
      </c>
      <c r="AB20" s="20">
        <f>Empresas!AB20/Empresas!AB8-1</f>
        <v>8.0145115235362718E-2</v>
      </c>
      <c r="AC20" s="19">
        <f>Empresas!AC20/Empresas!AC8-1</f>
        <v>-0.12511700468018849</v>
      </c>
      <c r="AD20" s="20">
        <f>Empresas!AD20/Empresas!AD8-1</f>
        <v>1.1056204181376428E-2</v>
      </c>
      <c r="AE20" s="20">
        <f>Empresas!AE20/Empresas!AE8-1</f>
        <v>-1.6969899985020742E-2</v>
      </c>
      <c r="AF20" s="20">
        <f>Empresas!AF20/Empresas!AF8-1</f>
        <v>4.2705403895136662E-2</v>
      </c>
      <c r="AG20" s="19">
        <f>Empresas!AG20/Empresas!AG8-1</f>
        <v>8.4514275224778501E-3</v>
      </c>
      <c r="AH20" s="20">
        <f>Empresas!AH20/Empresas!AH8-1</f>
        <v>2.1602733046801825E-2</v>
      </c>
      <c r="AI20" s="21">
        <f>Empresas!AI20/Empresas!AI8-1</f>
        <v>2.0005843908375009E-3</v>
      </c>
      <c r="AJ20" s="21">
        <f>Empresas!AJ20/Empresas!AJ8-1</f>
        <v>8.6622952760770922E-3</v>
      </c>
    </row>
    <row r="21" spans="1:36" x14ac:dyDescent="0.35">
      <c r="A21" s="32">
        <v>45778</v>
      </c>
      <c r="B21" s="19">
        <f>Empresas!B21/Empresas!B9-1</f>
        <v>9.1517847579552836E-2</v>
      </c>
      <c r="C21" s="20">
        <f>Empresas!C21/Empresas!C9-1</f>
        <v>0.17578653963890445</v>
      </c>
      <c r="D21" s="20">
        <f>Empresas!D21/Empresas!D9-1</f>
        <v>0.18236780813412379</v>
      </c>
      <c r="E21" s="20">
        <f>Empresas!E21/Empresas!E9-1</f>
        <v>5.8228969700506727E-3</v>
      </c>
      <c r="F21" s="20">
        <f>Empresas!F21/Empresas!F9-1</f>
        <v>0.16888040127742876</v>
      </c>
      <c r="G21" s="20">
        <f>Empresas!G21/Empresas!G9-1</f>
        <v>0.11393012498309685</v>
      </c>
      <c r="H21" s="20">
        <f>Empresas!H21/Empresas!H9-1</f>
        <v>0.18334594097599655</v>
      </c>
      <c r="I21" s="20">
        <f>Empresas!I21/Empresas!I9-1</f>
        <v>0.24444109281103454</v>
      </c>
      <c r="J21" s="20">
        <f>Empresas!J21/Empresas!J9-1</f>
        <v>0.20345094660746543</v>
      </c>
      <c r="K21" s="20">
        <f>Empresas!K21/Empresas!K9-1</f>
        <v>0.14246781696281929</v>
      </c>
      <c r="L21" s="20">
        <f>Empresas!L21/Empresas!L9-1</f>
        <v>0.17447367587873308</v>
      </c>
      <c r="M21" s="20">
        <f>Empresas!M21/Empresas!M9-1</f>
        <v>0.16240954332667301</v>
      </c>
      <c r="N21" s="20">
        <f>Empresas!N21/Empresas!N9-1</f>
        <v>0.25715765906754418</v>
      </c>
      <c r="O21" s="20">
        <f>Empresas!O21/Empresas!O9-1</f>
        <v>0.14101928602722391</v>
      </c>
      <c r="P21" s="20">
        <f>Empresas!P21/Empresas!P9-1</f>
        <v>0.19262750412436813</v>
      </c>
      <c r="Q21" s="20">
        <f>Empresas!Q21/Empresas!Q9-1</f>
        <v>0.16262154787572181</v>
      </c>
      <c r="R21" s="20">
        <f>Empresas!R21/Empresas!R9-1</f>
        <v>0.16569892824510823</v>
      </c>
      <c r="S21" s="20">
        <f>Empresas!S21/Empresas!S9-1</f>
        <v>0.15258951630670059</v>
      </c>
      <c r="T21" s="20">
        <f>Empresas!T21/Empresas!T9-1</f>
        <v>0.32993874045410521</v>
      </c>
      <c r="U21" s="20">
        <f>Empresas!U21/Empresas!U9-1</f>
        <v>0.1334081110502352</v>
      </c>
      <c r="V21" s="20">
        <f>Empresas!V21/Empresas!V9-1</f>
        <v>4.8784306480941453E-2</v>
      </c>
      <c r="W21" s="20">
        <f>Empresas!W21/Empresas!W9-1</f>
        <v>0.18021191360731281</v>
      </c>
      <c r="X21" s="20">
        <f>Empresas!X21/Empresas!X9-1</f>
        <v>0.32129087703080716</v>
      </c>
      <c r="Y21" s="20">
        <f>Empresas!Y21/Empresas!Y9-1</f>
        <v>0.12657000267298257</v>
      </c>
      <c r="Z21" s="20">
        <f>Empresas!Z21/Empresas!Z9-1</f>
        <v>0.19607091561195444</v>
      </c>
      <c r="AA21" s="20">
        <f>Empresas!AA21/Empresas!AA9-1</f>
        <v>8.6256697940721994E-2</v>
      </c>
      <c r="AB21" s="20">
        <f>Empresas!AB21/Empresas!AB9-1</f>
        <v>0.12902872955568689</v>
      </c>
      <c r="AC21" s="19">
        <f>Empresas!AC21/Empresas!AC9-1</f>
        <v>0.21821081629693273</v>
      </c>
      <c r="AD21" s="20">
        <f>Empresas!AD21/Empresas!AD9-1</f>
        <v>0.11671015074480917</v>
      </c>
      <c r="AE21" s="20">
        <f>Empresas!AE21/Empresas!AE9-1</f>
        <v>0.12898472396744554</v>
      </c>
      <c r="AF21" s="20">
        <f>Empresas!AF21/Empresas!AF9-1</f>
        <v>0.22219582313668207</v>
      </c>
      <c r="AG21" s="19">
        <f>Empresas!AG21/Empresas!AG9-1</f>
        <v>0.16698838875610189</v>
      </c>
      <c r="AH21" s="20">
        <f>Empresas!AH21/Empresas!AH9-1</f>
        <v>6.9477957625466935E-2</v>
      </c>
      <c r="AI21" s="21">
        <f>Empresas!AI21/Empresas!AI9-1</f>
        <v>2.9355636249652539E-2</v>
      </c>
      <c r="AJ21" s="21">
        <f>Empresas!AJ21/Empresas!AJ9-1</f>
        <v>0.16359039991317048</v>
      </c>
    </row>
    <row r="22" spans="1:36" x14ac:dyDescent="0.35">
      <c r="A22" s="32">
        <v>45809</v>
      </c>
      <c r="B22" s="19">
        <f>Empresas!B22/Empresas!B10-1</f>
        <v>0.14890327148318394</v>
      </c>
      <c r="C22" s="20">
        <f>Empresas!C22/Empresas!C10-1</f>
        <v>-4.9403978546406102E-2</v>
      </c>
      <c r="D22" s="20">
        <f>Empresas!D22/Empresas!D10-1</f>
        <v>0.26856616230505903</v>
      </c>
      <c r="E22" s="20">
        <f>Empresas!E22/Empresas!E10-1</f>
        <v>0.15450075224977922</v>
      </c>
      <c r="F22" s="20">
        <f>Empresas!F22/Empresas!F10-1</f>
        <v>8.1596159072605534E-3</v>
      </c>
      <c r="G22" s="20">
        <f>Empresas!G22/Empresas!G10-1</f>
        <v>9.6192515480931995E-2</v>
      </c>
      <c r="H22" s="20">
        <f>Empresas!H22/Empresas!H10-1</f>
        <v>0.13051394282912021</v>
      </c>
      <c r="I22" s="20">
        <f>Empresas!I22/Empresas!I10-1</f>
        <v>7.1449314468679859E-2</v>
      </c>
      <c r="J22" s="20">
        <f>Empresas!J22/Empresas!J10-1</f>
        <v>0.12719682046800673</v>
      </c>
      <c r="K22" s="20">
        <f>Empresas!K22/Empresas!K10-1</f>
        <v>5.1919855025656547E-2</v>
      </c>
      <c r="L22" s="20">
        <f>Empresas!L22/Empresas!L10-1</f>
        <v>6.4042683092176977E-2</v>
      </c>
      <c r="M22" s="20">
        <f>Empresas!M22/Empresas!M10-1</f>
        <v>0.20473705865714131</v>
      </c>
      <c r="N22" s="20">
        <f>Empresas!N22/Empresas!N10-1</f>
        <v>0.18481790535644826</v>
      </c>
      <c r="O22" s="20">
        <f>Empresas!O22/Empresas!O10-1</f>
        <v>0.12729291685970812</v>
      </c>
      <c r="P22" s="20">
        <f>Empresas!P22/Empresas!P10-1</f>
        <v>0.12414998984020653</v>
      </c>
      <c r="Q22" s="20">
        <f>Empresas!Q22/Empresas!Q10-1</f>
        <v>0.11891782764840175</v>
      </c>
      <c r="R22" s="20">
        <f>Empresas!R22/Empresas!R10-1</f>
        <v>6.511219015258507E-2</v>
      </c>
      <c r="S22" s="20">
        <f>Empresas!S22/Empresas!S10-1</f>
        <v>0.11768857101839414</v>
      </c>
      <c r="T22" s="20">
        <f>Empresas!T22/Empresas!T10-1</f>
        <v>4.2137961479855601E-2</v>
      </c>
      <c r="U22" s="20">
        <f>Empresas!U22/Empresas!U10-1</f>
        <v>0.10142998519761259</v>
      </c>
      <c r="V22" s="20">
        <f>Empresas!V22/Empresas!V10-1</f>
        <v>6.2017381361715973E-2</v>
      </c>
      <c r="W22" s="20">
        <f>Empresas!W22/Empresas!W10-1</f>
        <v>0.18299084386282738</v>
      </c>
      <c r="X22" s="20">
        <f>Empresas!X22/Empresas!X10-1</f>
        <v>0.12657032633675436</v>
      </c>
      <c r="Y22" s="20">
        <f>Empresas!Y22/Empresas!Y10-1</f>
        <v>5.2742098647532876E-2</v>
      </c>
      <c r="Z22" s="20">
        <f>Empresas!Z22/Empresas!Z10-1</f>
        <v>0.13796671841262298</v>
      </c>
      <c r="AA22" s="20">
        <f>Empresas!AA22/Empresas!AA10-1</f>
        <v>0.14584371311651578</v>
      </c>
      <c r="AB22" s="20">
        <f>Empresas!AB22/Empresas!AB10-1</f>
        <v>0.14558112998922756</v>
      </c>
      <c r="AC22" s="19">
        <f>Empresas!AC22/Empresas!AC10-1</f>
        <v>9.8426821996980385E-2</v>
      </c>
      <c r="AD22" s="20">
        <f>Empresas!AD22/Empresas!AD10-1</f>
        <v>7.777096700483499E-2</v>
      </c>
      <c r="AE22" s="20">
        <f>Empresas!AE22/Empresas!AE10-1</f>
        <v>4.4984613907370408E-2</v>
      </c>
      <c r="AF22" s="20">
        <f>Empresas!AF22/Empresas!AF10-1</f>
        <v>0.18706735802272179</v>
      </c>
      <c r="AG22" s="19">
        <f>Empresas!AG22/Empresas!AG10-1</f>
        <v>0.10762475385647519</v>
      </c>
      <c r="AH22" s="20">
        <f>Empresas!AH22/Empresas!AH10-1</f>
        <v>2.0053427202085805E-2</v>
      </c>
      <c r="AI22" s="21">
        <f>Empresas!AI22/Empresas!AI10-1</f>
        <v>-6.7311285663443909E-3</v>
      </c>
      <c r="AJ22" s="21">
        <f>Empresas!AJ22/Empresas!AJ10-1</f>
        <v>0.10469961455963217</v>
      </c>
    </row>
    <row r="23" spans="1:36" x14ac:dyDescent="0.35">
      <c r="A23" s="32">
        <v>45839</v>
      </c>
      <c r="B23" s="19">
        <f>Empresas!B23/Empresas!B11-1</f>
        <v>0.17354236901810127</v>
      </c>
      <c r="C23" s="20">
        <f>Empresas!C23/Empresas!C11-1</f>
        <v>0.13927723498865596</v>
      </c>
      <c r="D23" s="20">
        <f>Empresas!D23/Empresas!D11-1</f>
        <v>0.30680197466877335</v>
      </c>
      <c r="E23" s="20">
        <f>Empresas!E23/Empresas!E11-1</f>
        <v>0.15298303879364905</v>
      </c>
      <c r="F23" s="20">
        <f>Empresas!F23/Empresas!F11-1</f>
        <v>7.2631970992368178E-2</v>
      </c>
      <c r="G23" s="20">
        <f>Empresas!G23/Empresas!G11-1</f>
        <v>7.8283727264662817E-2</v>
      </c>
      <c r="H23" s="20">
        <f>Empresas!H23/Empresas!H11-1</f>
        <v>-0.10554245115812888</v>
      </c>
      <c r="I23" s="20">
        <f>Empresas!I23/Empresas!I11-1</f>
        <v>-0.13752549228431687</v>
      </c>
      <c r="J23" s="20">
        <f>Empresas!J23/Empresas!J11-1</f>
        <v>3.0321122892785102E-2</v>
      </c>
      <c r="K23" s="20">
        <f>Empresas!K23/Empresas!K11-1</f>
        <v>0.13702888781772349</v>
      </c>
      <c r="L23" s="20">
        <f>Empresas!L23/Empresas!L11-1</f>
        <v>1.0893963524696071E-2</v>
      </c>
      <c r="M23" s="20">
        <f>Empresas!M23/Empresas!M11-1</f>
        <v>-0.13722276343316298</v>
      </c>
      <c r="N23" s="20">
        <f>Empresas!N23/Empresas!N11-1</f>
        <v>1.7880484782592854E-2</v>
      </c>
      <c r="O23" s="20">
        <f>Empresas!O23/Empresas!O11-1</f>
        <v>0.1823606037944161</v>
      </c>
      <c r="P23" s="20">
        <f>Empresas!P23/Empresas!P11-1</f>
        <v>7.7086610221294372E-2</v>
      </c>
      <c r="Q23" s="20">
        <f>Empresas!Q23/Empresas!Q11-1</f>
        <v>5.5580974749745771E-2</v>
      </c>
      <c r="R23" s="20">
        <f>Empresas!R23/Empresas!R11-1</f>
        <v>0.10592083084175896</v>
      </c>
      <c r="S23" s="20">
        <f>Empresas!S23/Empresas!S11-1</f>
        <v>8.0298339951547115E-2</v>
      </c>
      <c r="T23" s="20">
        <f>Empresas!T23/Empresas!T11-1</f>
        <v>-0.11547290197066873</v>
      </c>
      <c r="U23" s="20">
        <f>Empresas!U23/Empresas!U11-1</f>
        <v>8.0487822005123943E-2</v>
      </c>
      <c r="V23" s="20">
        <f>Empresas!V23/Empresas!V11-1</f>
        <v>0.15710504645198387</v>
      </c>
      <c r="W23" s="20">
        <f>Empresas!W23/Empresas!W11-1</f>
        <v>0.22820419942740822</v>
      </c>
      <c r="X23" s="20">
        <f>Empresas!X23/Empresas!X11-1</f>
        <v>4.6712198931893045E-2</v>
      </c>
      <c r="Y23" s="20">
        <f>Empresas!Y23/Empresas!Y11-1</f>
        <v>8.381082209437829E-2</v>
      </c>
      <c r="Z23" s="20">
        <f>Empresas!Z23/Empresas!Z11-1</f>
        <v>8.4491848254694357E-2</v>
      </c>
      <c r="AA23" s="20">
        <f>Empresas!AA23/Empresas!AA11-1</f>
        <v>6.5118928641566765E-2</v>
      </c>
      <c r="AB23" s="20">
        <f>Empresas!AB23/Empresas!AB11-1</f>
        <v>0.10984172388644375</v>
      </c>
      <c r="AC23" s="19">
        <f>Empresas!AC23/Empresas!AC11-1</f>
        <v>-4.1326818267240162E-2</v>
      </c>
      <c r="AD23" s="20">
        <f>Empresas!AD23/Empresas!AD11-1</f>
        <v>4.6888551240080512E-2</v>
      </c>
      <c r="AE23" s="20">
        <f>Empresas!AE23/Empresas!AE11-1</f>
        <v>8.9983675841400768E-3</v>
      </c>
      <c r="AF23" s="20">
        <f>Empresas!AF23/Empresas!AF11-1</f>
        <v>7.6563929183631974E-2</v>
      </c>
      <c r="AG23" s="19">
        <f>Empresas!AG23/Empresas!AG11-1</f>
        <v>4.0259122324273422E-2</v>
      </c>
      <c r="AH23" s="20">
        <f>Empresas!AH23/Empresas!AH11-1</f>
        <v>5.8006103828358135E-2</v>
      </c>
      <c r="AI23" s="21">
        <f>Empresas!AI23/Empresas!AI11-1</f>
        <v>9.2599337358327816E-3</v>
      </c>
      <c r="AJ23" s="21">
        <f>Empresas!AJ23/Empresas!AJ11-1</f>
        <v>4.0326387589978419E-2</v>
      </c>
    </row>
    <row r="24" spans="1:36" x14ac:dyDescent="0.35">
      <c r="A24" s="32">
        <v>45870</v>
      </c>
      <c r="B24" s="19">
        <f>Empresas!B24/Empresas!B12-1</f>
        <v>-1.150158968284487E-2</v>
      </c>
      <c r="C24" s="20">
        <f>Empresas!C24/Empresas!C12-1</f>
        <v>-8.4819326163619202E-2</v>
      </c>
      <c r="D24" s="20">
        <f>Empresas!D24/Empresas!D12-1</f>
        <v>0.13304697491046258</v>
      </c>
      <c r="E24" s="20">
        <f>Empresas!E24/Empresas!E12-1</f>
        <v>-2.5381424806318109E-2</v>
      </c>
      <c r="F24" s="20">
        <f>Empresas!F24/Empresas!F12-1</f>
        <v>-4.6602005547575764E-2</v>
      </c>
      <c r="G24" s="20">
        <f>Empresas!G24/Empresas!G12-1</f>
        <v>-0.12769622562718919</v>
      </c>
      <c r="H24" s="20">
        <f>Empresas!H24/Empresas!H12-1</f>
        <v>-0.13376835049694746</v>
      </c>
      <c r="I24" s="20">
        <f>Empresas!I24/Empresas!I12-1</f>
        <v>-2.8520734472558207E-2</v>
      </c>
      <c r="J24" s="20">
        <f>Empresas!J24/Empresas!J12-1</f>
        <v>-1.1184025888410387E-2</v>
      </c>
      <c r="K24" s="20">
        <f>Empresas!K24/Empresas!K12-1</f>
        <v>-7.38881398625717E-2</v>
      </c>
      <c r="L24" s="20">
        <f>Empresas!L24/Empresas!L12-1</f>
        <v>-7.9228503313947263E-3</v>
      </c>
      <c r="M24" s="20">
        <f>Empresas!M24/Empresas!M12-1</f>
        <v>0.22979562253672814</v>
      </c>
      <c r="N24" s="20">
        <f>Empresas!N24/Empresas!N12-1</f>
        <v>8.1324535027506917E-2</v>
      </c>
      <c r="O24" s="20">
        <f>Empresas!O24/Empresas!O12-1</f>
        <v>5.9082455222894348E-2</v>
      </c>
      <c r="P24" s="20">
        <f>Empresas!P24/Empresas!P12-1</f>
        <v>-3.2424808272565775E-2</v>
      </c>
      <c r="Q24" s="20">
        <f>Empresas!Q24/Empresas!Q12-1</f>
        <v>-0.36808252003418018</v>
      </c>
      <c r="R24" s="20">
        <f>Empresas!R24/Empresas!R12-1</f>
        <v>-4.0975797876762421E-2</v>
      </c>
      <c r="S24" s="20">
        <f>Empresas!S24/Empresas!S12-1</f>
        <v>3.4057153029272813E-2</v>
      </c>
      <c r="T24" s="20">
        <f>Empresas!T24/Empresas!T12-1</f>
        <v>-0.12112135418633874</v>
      </c>
      <c r="U24" s="20">
        <f>Empresas!U24/Empresas!U12-1</f>
        <v>1.0153592212302831E-2</v>
      </c>
      <c r="V24" s="20">
        <f>Empresas!V24/Empresas!V12-1</f>
        <v>-1.149316312094284E-2</v>
      </c>
      <c r="W24" s="20">
        <f>Empresas!W24/Empresas!W12-1</f>
        <v>9.3260196941430618E-2</v>
      </c>
      <c r="X24" s="20">
        <f>Empresas!X24/Empresas!X12-1</f>
        <v>1.2299331240647415E-2</v>
      </c>
      <c r="Y24" s="20">
        <f>Empresas!Y24/Empresas!Y12-1</f>
        <v>4.0343764145656102E-2</v>
      </c>
      <c r="Z24" s="20">
        <f>Empresas!Z24/Empresas!Z12-1</f>
        <v>-7.2999718178112794E-3</v>
      </c>
      <c r="AA24" s="20">
        <f>Empresas!AA24/Empresas!AA12-1</f>
        <v>-4.2560878272070335E-2</v>
      </c>
      <c r="AB24" s="20">
        <f>Empresas!AB24/Empresas!AB12-1</f>
        <v>7.2369941244297076E-2</v>
      </c>
      <c r="AC24" s="19">
        <f>Empresas!AC24/Empresas!AC12-1</f>
        <v>-2.8613296313436565E-2</v>
      </c>
      <c r="AD24" s="20">
        <f>Empresas!AD24/Empresas!AD12-1</f>
        <v>-2.0899082510375422E-2</v>
      </c>
      <c r="AE24" s="20">
        <f>Empresas!AE24/Empresas!AE12-1</f>
        <v>-6.3567370627901076E-2</v>
      </c>
      <c r="AF24" s="20">
        <f>Empresas!AF24/Empresas!AF12-1</f>
        <v>-8.654951594656568E-4</v>
      </c>
      <c r="AG24" s="19">
        <f>Empresas!AG24/Empresas!AG12-1</f>
        <v>-3.6801260227031674E-2</v>
      </c>
      <c r="AH24" s="20">
        <f>Empresas!AH24/Empresas!AH12-1</f>
        <v>0.18455362364615646</v>
      </c>
      <c r="AI24" s="21">
        <f>Empresas!AI24/Empresas!AI12-1</f>
        <v>6.1645734172420585E-2</v>
      </c>
      <c r="AJ24" s="21">
        <f>Empresas!AJ24/Empresas!AJ12-1</f>
        <v>-3.1940712501210999E-2</v>
      </c>
    </row>
    <row r="25" spans="1:36" x14ac:dyDescent="0.35">
      <c r="A25" s="32">
        <v>45901</v>
      </c>
      <c r="B25" s="19">
        <f>Empresas!B25/Empresas!B13-1</f>
        <v>5.9998815389303628E-2</v>
      </c>
      <c r="C25" s="20">
        <f>Empresas!C25/Empresas!C13-1</f>
        <v>0.10489052540209953</v>
      </c>
      <c r="D25" s="20">
        <f>Empresas!D25/Empresas!D13-1</f>
        <v>8.5607466835241341E-2</v>
      </c>
      <c r="E25" s="20">
        <f>Empresas!E25/Empresas!E13-1</f>
        <v>0.13972954890686773</v>
      </c>
      <c r="F25" s="20">
        <f>Empresas!F25/Empresas!F13-1</f>
        <v>0.12989673309043392</v>
      </c>
      <c r="G25" s="20">
        <f>Empresas!G25/Empresas!G13-1</f>
        <v>5.2641264167470947E-2</v>
      </c>
      <c r="H25" s="20">
        <f>Empresas!H25/Empresas!H13-1</f>
        <v>0.1096239636780969</v>
      </c>
      <c r="I25" s="20">
        <f>Empresas!I25/Empresas!I13-1</f>
        <v>8.399148257893696E-2</v>
      </c>
      <c r="J25" s="20">
        <f>Empresas!J25/Empresas!J13-1</f>
        <v>0.15922839417048107</v>
      </c>
      <c r="K25" s="20">
        <f>Empresas!K25/Empresas!K13-1</f>
        <v>3.3356149013894942E-2</v>
      </c>
      <c r="L25" s="20">
        <f>Empresas!L25/Empresas!L13-1</f>
        <v>0.12451745385633939</v>
      </c>
      <c r="M25" s="20">
        <f>Empresas!M25/Empresas!M13-1</f>
        <v>0.35914223769971065</v>
      </c>
      <c r="N25" s="20">
        <f>Empresas!N25/Empresas!N13-1</f>
        <v>0.2019762088001027</v>
      </c>
      <c r="O25" s="20">
        <f>Empresas!O25/Empresas!O13-1</f>
        <v>0.11737444269097175</v>
      </c>
      <c r="P25" s="20">
        <f>Empresas!P25/Empresas!P13-1</f>
        <v>0.12459916258817039</v>
      </c>
      <c r="Q25" s="20">
        <f>Empresas!Q25/Empresas!Q13-1</f>
        <v>4.6085557679488298E-2</v>
      </c>
      <c r="R25" s="20">
        <f>Empresas!R25/Empresas!R13-1</f>
        <v>5.1766057526476006E-2</v>
      </c>
      <c r="S25" s="20">
        <f>Empresas!S25/Empresas!S13-1</f>
        <v>0.1285291283053871</v>
      </c>
      <c r="T25" s="20">
        <f>Empresas!T25/Empresas!T13-1</f>
        <v>2.2651690923492174E-2</v>
      </c>
      <c r="U25" s="20">
        <f>Empresas!U25/Empresas!U13-1</f>
        <v>0.15820851092356247</v>
      </c>
      <c r="V25" s="20">
        <f>Empresas!V25/Empresas!V13-1</f>
        <v>0.14802957175348785</v>
      </c>
      <c r="W25" s="20">
        <f>Empresas!W25/Empresas!W13-1</f>
        <v>0.31509635984132234</v>
      </c>
      <c r="X25" s="20">
        <f>Empresas!X25/Empresas!X13-1</f>
        <v>0.1976677173219008</v>
      </c>
      <c r="Y25" s="20">
        <f>Empresas!Y25/Empresas!Y13-1</f>
        <v>0.13422799652743622</v>
      </c>
      <c r="Z25" s="20">
        <f>Empresas!Z25/Empresas!Z13-1</f>
        <v>6.7264359875355728E-2</v>
      </c>
      <c r="AA25" s="20">
        <f>Empresas!AA25/Empresas!AA13-1</f>
        <v>0.24246887917420112</v>
      </c>
      <c r="AB25" s="20">
        <f>Empresas!AB25/Empresas!AB13-1</f>
        <v>0.1669973724874978</v>
      </c>
      <c r="AC25" s="19">
        <f>Empresas!AC25/Empresas!AC13-1</f>
        <v>0.177642366496783</v>
      </c>
      <c r="AD25" s="20">
        <f>Empresas!AD25/Empresas!AD13-1</f>
        <v>0.13219191718097423</v>
      </c>
      <c r="AE25" s="20">
        <f>Empresas!AE25/Empresas!AE13-1</f>
        <v>0.11715501051212329</v>
      </c>
      <c r="AF25" s="20">
        <f>Empresas!AF25/Empresas!AF13-1</f>
        <v>0.20562604747271007</v>
      </c>
      <c r="AG25" s="19">
        <f>Empresas!AG25/Empresas!AG13-1</f>
        <v>0.15988972179899852</v>
      </c>
      <c r="AH25" s="20">
        <f>Empresas!AH25/Empresas!AH13-1</f>
        <v>3.6285983377171149E-4</v>
      </c>
      <c r="AI25" s="21">
        <f>Empresas!AI25/Empresas!AI13-1</f>
        <v>3.0853936093931056E-2</v>
      </c>
      <c r="AJ25" s="21">
        <f>Empresas!AJ25/Empresas!AJ13-1</f>
        <v>0.15498543185319158</v>
      </c>
    </row>
    <row r="26" spans="1:36" x14ac:dyDescent="0.35">
      <c r="A26" s="32">
        <v>45931</v>
      </c>
      <c r="B26" s="19">
        <f>Empresas!B26/Empresas!B14-1</f>
        <v>0.21168144948763445</v>
      </c>
      <c r="C26" s="20">
        <f>Empresas!C26/Empresas!C14-1</f>
        <v>0.18713780026050197</v>
      </c>
      <c r="D26" s="20">
        <f>Empresas!D26/Empresas!D14-1</f>
        <v>0.36080174122768427</v>
      </c>
      <c r="E26" s="20">
        <f>Empresas!E26/Empresas!E14-1</f>
        <v>0.27150306509778299</v>
      </c>
      <c r="F26" s="20">
        <f>Empresas!F26/Empresas!F14-1</f>
        <v>0.16267731944160002</v>
      </c>
      <c r="G26" s="20">
        <f>Empresas!G26/Empresas!G14-1</f>
        <v>0.21277386370381457</v>
      </c>
      <c r="H26" s="20">
        <f>Empresas!H26/Empresas!H14-1</f>
        <v>0.23065604451273769</v>
      </c>
      <c r="I26" s="20">
        <f>Empresas!I26/Empresas!I14-1</f>
        <v>8.2505260178474149E-2</v>
      </c>
      <c r="J26" s="20">
        <f>Empresas!J26/Empresas!J14-1</f>
        <v>0.19078648901162798</v>
      </c>
      <c r="K26" s="20">
        <f>Empresas!K26/Empresas!K14-1</f>
        <v>0.1844496313661721</v>
      </c>
      <c r="L26" s="20">
        <f>Empresas!L26/Empresas!L14-1</f>
        <v>0.18459942375346117</v>
      </c>
      <c r="M26" s="20">
        <f>Empresas!M26/Empresas!M14-1</f>
        <v>0.48330136542504598</v>
      </c>
      <c r="N26" s="20">
        <f>Empresas!N26/Empresas!N14-1</f>
        <v>0.26241354570803166</v>
      </c>
      <c r="O26" s="20">
        <f>Empresas!O26/Empresas!O14-1</f>
        <v>0.23413668908569041</v>
      </c>
      <c r="P26" s="20">
        <f>Empresas!P26/Empresas!P14-1</f>
        <v>0.20924820717245973</v>
      </c>
      <c r="Q26" s="20">
        <f>Empresas!Q26/Empresas!Q14-1</f>
        <v>0.17164178547361209</v>
      </c>
      <c r="R26" s="20">
        <f>Empresas!R26/Empresas!R14-1</f>
        <v>0.17072096196386921</v>
      </c>
      <c r="S26" s="20">
        <f>Empresas!S26/Empresas!S14-1</f>
        <v>0.18357164918664748</v>
      </c>
      <c r="T26" s="20">
        <f>Empresas!T26/Empresas!T14-1</f>
        <v>0.25452597372021013</v>
      </c>
      <c r="U26" s="20">
        <f>Empresas!U26/Empresas!U14-1</f>
        <v>0.15060627900378276</v>
      </c>
      <c r="V26" s="20">
        <f>Empresas!V26/Empresas!V14-1</f>
        <v>0.17103538373790395</v>
      </c>
      <c r="W26" s="20">
        <f>Empresas!W26/Empresas!W14-1</f>
        <v>0.33338855885558982</v>
      </c>
      <c r="X26" s="20">
        <f>Empresas!X26/Empresas!X14-1</f>
        <v>0.22541650497607435</v>
      </c>
      <c r="Y26" s="20">
        <f>Empresas!Y26/Empresas!Y14-1</f>
        <v>0.13857400121396535</v>
      </c>
      <c r="Z26" s="20">
        <f>Empresas!Z26/Empresas!Z14-1</f>
        <v>0.17329177864867296</v>
      </c>
      <c r="AA26" s="20">
        <f>Empresas!AA26/Empresas!AA14-1</f>
        <v>0.2554141971376338</v>
      </c>
      <c r="AB26" s="20">
        <f>Empresas!AB26/Empresas!AB14-1</f>
        <v>0.30302769307948108</v>
      </c>
      <c r="AC26" s="19">
        <f>Empresas!AC26/Empresas!AC14-1</f>
        <v>0.23827594979647682</v>
      </c>
      <c r="AD26" s="20">
        <f>Empresas!AD26/Empresas!AD14-1</f>
        <v>0.18426541658269691</v>
      </c>
      <c r="AE26" s="20">
        <f>Empresas!AE26/Empresas!AE14-1</f>
        <v>0.15076007395555657</v>
      </c>
      <c r="AF26" s="20">
        <f>Empresas!AF26/Empresas!AF14-1</f>
        <v>0.30476041503728069</v>
      </c>
      <c r="AG26" s="19">
        <f>Empresas!AG26/Empresas!AG14-1</f>
        <v>0.21919610500058706</v>
      </c>
      <c r="AH26" s="20">
        <f>Empresas!AH26/Empresas!AH14-1</f>
        <v>0.16197301007665721</v>
      </c>
      <c r="AI26" s="21">
        <f>Empresas!AI26/Empresas!AI14-1</f>
        <v>0.10021250597593556</v>
      </c>
      <c r="AJ26" s="21">
        <f>Empresas!AJ26/Empresas!AJ14-1</f>
        <v>0.21696665259626924</v>
      </c>
    </row>
    <row r="27" spans="1:36" x14ac:dyDescent="0.35">
      <c r="A27" s="32">
        <v>45962</v>
      </c>
      <c r="B27" s="19">
        <f>Empresas!B27/Empresas!B15-1</f>
        <v>0.11826616405597434</v>
      </c>
      <c r="C27" s="20">
        <f>Empresas!C27/Empresas!C15-1</f>
        <v>8.238871407120496E-2</v>
      </c>
      <c r="D27" s="20">
        <f>Empresas!D27/Empresas!D15-1</f>
        <v>0.17538092235355118</v>
      </c>
      <c r="E27" s="20">
        <f>Empresas!E27/Empresas!E15-1</f>
        <v>0.13330965609961987</v>
      </c>
      <c r="F27" s="20">
        <f>Empresas!F27/Empresas!F15-1</f>
        <v>8.0601415135783894E-2</v>
      </c>
      <c r="G27" s="20">
        <f>Empresas!G27/Empresas!G15-1</f>
        <v>9.9009042826749383E-2</v>
      </c>
      <c r="H27" s="20">
        <f>Empresas!H27/Empresas!H15-1</f>
        <v>0.37135775669861593</v>
      </c>
      <c r="I27" s="20">
        <f>Empresas!I27/Empresas!I15-1</f>
        <v>8.3648820717183936E-2</v>
      </c>
      <c r="J27" s="20">
        <f>Empresas!J27/Empresas!J15-1</f>
        <v>0.10269579129829554</v>
      </c>
      <c r="K27" s="20">
        <f>Empresas!K27/Empresas!K15-1</f>
        <v>9.8142672501307038E-2</v>
      </c>
      <c r="L27" s="20">
        <f>Empresas!L27/Empresas!L15-1</f>
        <v>0.10071913921705655</v>
      </c>
      <c r="M27" s="20">
        <f>Empresas!M27/Empresas!M15-1</f>
        <v>0.33454878620535222</v>
      </c>
      <c r="N27" s="20">
        <f>Empresas!N27/Empresas!N15-1</f>
        <v>0.17080716076855706</v>
      </c>
      <c r="O27" s="20">
        <f>Empresas!O27/Empresas!O15-1</f>
        <v>0.11850832085994578</v>
      </c>
      <c r="P27" s="20">
        <f>Empresas!P27/Empresas!P15-1</f>
        <v>5.4641463333238383E-2</v>
      </c>
      <c r="Q27" s="20">
        <f>Empresas!Q27/Empresas!Q15-1</f>
        <v>6.5983224369180693E-2</v>
      </c>
      <c r="R27" s="20">
        <f>Empresas!R27/Empresas!R15-1</f>
        <v>6.5696170513406926E-2</v>
      </c>
      <c r="S27" s="20">
        <f>Empresas!S27/Empresas!S15-1</f>
        <v>0.1266591663113068</v>
      </c>
      <c r="T27" s="20">
        <f>Empresas!T27/Empresas!T15-1</f>
        <v>7.3003859327262388E-2</v>
      </c>
      <c r="U27" s="20">
        <f>Empresas!U27/Empresas!U15-1</f>
        <v>4.1823433136749966E-2</v>
      </c>
      <c r="V27" s="20">
        <f>Empresas!V27/Empresas!V15-1</f>
        <v>8.4362602062073577E-2</v>
      </c>
      <c r="W27" s="20">
        <f>Empresas!W27/Empresas!W15-1</f>
        <v>0.28241418974686949</v>
      </c>
      <c r="X27" s="20">
        <f>Empresas!X27/Empresas!X15-1</f>
        <v>0.1347508060728595</v>
      </c>
      <c r="Y27" s="20">
        <f>Empresas!Y27/Empresas!Y15-1</f>
        <v>0.11132405299401271</v>
      </c>
      <c r="Z27" s="20">
        <f>Empresas!Z27/Empresas!Z15-1</f>
        <v>8.8393620432977382E-2</v>
      </c>
      <c r="AA27" s="20">
        <f>Empresas!AA27/Empresas!AA15-1</f>
        <v>7.0728001293694609E-2</v>
      </c>
      <c r="AB27" s="20">
        <f>Empresas!AB27/Empresas!AB15-1</f>
        <v>0.15360848332564836</v>
      </c>
      <c r="AC27" s="19">
        <f>Empresas!AC27/Empresas!AC15-1</f>
        <v>3.7889430625567044E-2</v>
      </c>
      <c r="AD27" s="20">
        <f>Empresas!AD27/Empresas!AD15-1</f>
        <v>0.10925918716910732</v>
      </c>
      <c r="AE27" s="20">
        <f>Empresas!AE27/Empresas!AE15-1</f>
        <v>7.9706369026009805E-2</v>
      </c>
      <c r="AF27" s="20">
        <f>Empresas!AF27/Empresas!AF15-1</f>
        <v>0.13158355416850642</v>
      </c>
      <c r="AG27" s="19">
        <f>Empresas!AG27/Empresas!AG15-1</f>
        <v>0.10360185791131116</v>
      </c>
      <c r="AH27" s="20">
        <f>Empresas!AH27/Empresas!AH15-1</f>
        <v>0.14723545437706931</v>
      </c>
      <c r="AI27" s="21">
        <f>Empresas!AI27/Empresas!AI15-1</f>
        <v>8.166580485839825E-2</v>
      </c>
      <c r="AJ27" s="21">
        <f>Empresas!AJ27/Empresas!AJ15-1</f>
        <v>0.10429951270187754</v>
      </c>
    </row>
    <row r="28" spans="1:36" ht="15" thickBot="1" x14ac:dyDescent="0.4">
      <c r="A28" s="33">
        <v>45992</v>
      </c>
      <c r="B28" s="22">
        <f>Empresas!B28/Empresas!B16-1</f>
        <v>0.25999167164865233</v>
      </c>
      <c r="C28" s="23">
        <f>Empresas!C28/Empresas!C16-1</f>
        <v>0.21568609352542389</v>
      </c>
      <c r="D28" s="23">
        <f>Empresas!D28/Empresas!D16-1</f>
        <v>0.18155233516338987</v>
      </c>
      <c r="E28" s="23">
        <f>Empresas!E28/Empresas!E16-1</f>
        <v>0.16544205330123574</v>
      </c>
      <c r="F28" s="23">
        <f>Empresas!F28/Empresas!F16-1</f>
        <v>0.13949596311251478</v>
      </c>
      <c r="G28" s="23">
        <f>Empresas!G28/Empresas!G16-1</f>
        <v>0.2132104250843132</v>
      </c>
      <c r="H28" s="23">
        <f>Empresas!H28/Empresas!H16-1</f>
        <v>0.30809787344382755</v>
      </c>
      <c r="I28" s="23">
        <f>Empresas!I28/Empresas!I16-1</f>
        <v>0.16900441470855321</v>
      </c>
      <c r="J28" s="23">
        <f>Empresas!J28/Empresas!J16-1</f>
        <v>0.18604511754458852</v>
      </c>
      <c r="K28" s="23">
        <f>Empresas!K28/Empresas!K16-1</f>
        <v>0.20664172370047207</v>
      </c>
      <c r="L28" s="23">
        <f>Empresas!L28/Empresas!L16-1</f>
        <v>0.21628489441312015</v>
      </c>
      <c r="M28" s="23">
        <f>Empresas!M28/Empresas!M16-1</f>
        <v>0.46466488829533636</v>
      </c>
      <c r="N28" s="23">
        <f>Empresas!N28/Empresas!N16-1</f>
        <v>0.26343544003220232</v>
      </c>
      <c r="O28" s="23">
        <f>Empresas!O28/Empresas!O16-1</f>
        <v>0.19976280419867276</v>
      </c>
      <c r="P28" s="23">
        <f>Empresas!P28/Empresas!P16-1</f>
        <v>0.54479431061834971</v>
      </c>
      <c r="Q28" s="23">
        <f>Empresas!Q28/Empresas!Q16-1</f>
        <v>0.19161582502781016</v>
      </c>
      <c r="R28" s="23">
        <f>Empresas!R28/Empresas!R16-1</f>
        <v>0.24323974363661205</v>
      </c>
      <c r="S28" s="23">
        <f>Empresas!S28/Empresas!S16-1</f>
        <v>0.20885630292842938</v>
      </c>
      <c r="T28" s="23">
        <f>Empresas!T28/Empresas!T16-1</f>
        <v>0.1111123902396276</v>
      </c>
      <c r="U28" s="23">
        <f>Empresas!U28/Empresas!U16-1</f>
        <v>0.13334055965109304</v>
      </c>
      <c r="V28" s="23">
        <f>Empresas!V28/Empresas!V16-1</f>
        <v>0.19953727941171917</v>
      </c>
      <c r="W28" s="23">
        <f>Empresas!W28/Empresas!W16-1</f>
        <v>0.34598984594385995</v>
      </c>
      <c r="X28" s="23">
        <f>Empresas!X28/Empresas!X16-1</f>
        <v>0.22358148432602309</v>
      </c>
      <c r="Y28" s="23">
        <f>Empresas!Y28/Empresas!Y16-1</f>
        <v>0.19809938745994282</v>
      </c>
      <c r="Z28" s="23">
        <f>Empresas!Z28/Empresas!Z16-1</f>
        <v>0.16260815593941214</v>
      </c>
      <c r="AA28" s="23">
        <f>Empresas!AA28/Empresas!AA16-1</f>
        <v>0.20232587474623309</v>
      </c>
      <c r="AB28" s="23">
        <f>Empresas!AB28/Empresas!AB16-1</f>
        <v>0.27464578584778909</v>
      </c>
      <c r="AC28" s="22">
        <f>Empresas!AC28/Empresas!AC16-1</f>
        <v>0.29477611940297388</v>
      </c>
      <c r="AD28" s="23">
        <f>Empresas!AD28/Empresas!AD16-1</f>
        <v>0.1756526166145691</v>
      </c>
      <c r="AE28" s="23">
        <f>Empresas!AE28/Empresas!AE16-1</f>
        <v>0.14919696027589535</v>
      </c>
      <c r="AF28" s="23">
        <f>Empresas!AF28/Empresas!AF16-1</f>
        <v>0.27888928597570906</v>
      </c>
      <c r="AG28" s="22">
        <f>Empresas!AG28/Empresas!AG16-1</f>
        <v>0.21157931005669606</v>
      </c>
      <c r="AH28" s="23">
        <f>Empresas!AH28/Empresas!AH16-1</f>
        <v>6.9906481368799289E-2</v>
      </c>
      <c r="AI28" s="24">
        <f>Empresas!AI28/Empresas!AI16-1</f>
        <v>9.3593996298773297E-2</v>
      </c>
      <c r="AJ28" s="24">
        <f>Empresas!AJ28/Empresas!AJ16-1</f>
        <v>0.20703543902171706</v>
      </c>
    </row>
    <row r="29" spans="1:36" x14ac:dyDescent="0.35">
      <c r="A29" s="31">
        <v>46023</v>
      </c>
      <c r="B29" s="25">
        <f>Empresas!B29/Empresas!B17-1</f>
        <v>0.17977297616709143</v>
      </c>
      <c r="C29" s="26">
        <f>Empresas!C29/Empresas!C17-1</f>
        <v>0.16204431315628676</v>
      </c>
      <c r="D29" s="26">
        <f>Empresas!D29/Empresas!D17-1</f>
        <v>0.19580823870378672</v>
      </c>
      <c r="E29" s="26">
        <f>Empresas!E29/Empresas!E17-1</f>
        <v>8.2676297416185207E-2</v>
      </c>
      <c r="F29" s="26">
        <f>Empresas!F29/Empresas!F17-1</f>
        <v>9.469482225294934E-2</v>
      </c>
      <c r="G29" s="26">
        <f>Empresas!G29/Empresas!G17-1</f>
        <v>5.463064642289539E-2</v>
      </c>
      <c r="H29" s="26">
        <f>Empresas!H29/Empresas!H17-1</f>
        <v>9.4920651190774752E-2</v>
      </c>
      <c r="I29" s="26">
        <f>Empresas!I29/Empresas!I17-1</f>
        <v>0.11163925200961167</v>
      </c>
      <c r="J29" s="26">
        <f>Empresas!J29/Empresas!J17-1</f>
        <v>0.10033386653235321</v>
      </c>
      <c r="K29" s="26">
        <f>Empresas!K29/Empresas!K17-1</f>
        <v>0.10975934718783575</v>
      </c>
      <c r="L29" s="26">
        <f>Empresas!L29/Empresas!L17-1</f>
        <v>0.13410774680923732</v>
      </c>
      <c r="M29" s="26">
        <f>Empresas!M29/Empresas!M17-1</f>
        <v>0.27865510731684928</v>
      </c>
      <c r="N29" s="26">
        <f>Empresas!N29/Empresas!N17-1</f>
        <v>0.1566138391764833</v>
      </c>
      <c r="O29" s="26">
        <f>Empresas!O29/Empresas!O17-1</f>
        <v>8.0518212213149365E-2</v>
      </c>
      <c r="P29" s="26">
        <f>Empresas!P29/Empresas!P17-1</f>
        <v>0.27547864799341748</v>
      </c>
      <c r="Q29" s="26">
        <f>Empresas!Q29/Empresas!Q17-1</f>
        <v>0.12507061870027902</v>
      </c>
      <c r="R29" s="26">
        <f>Empresas!R29/Empresas!R17-1</f>
        <v>0.19066366591993544</v>
      </c>
      <c r="S29" s="26">
        <f>Empresas!S29/Empresas!S17-1</f>
        <v>8.898495731102285E-2</v>
      </c>
      <c r="T29" s="26">
        <f>Empresas!T29/Empresas!T17-1</f>
        <v>8.6970281592274379E-2</v>
      </c>
      <c r="U29" s="26">
        <f>Empresas!U29/Empresas!U17-1</f>
        <v>2.3259528959399978E-2</v>
      </c>
      <c r="V29" s="26">
        <f>Empresas!V29/Empresas!V17-1</f>
        <v>0.13948377468761097</v>
      </c>
      <c r="W29" s="26">
        <f>Empresas!W29/Empresas!W17-1</f>
        <v>0.27576695868091372</v>
      </c>
      <c r="X29" s="26">
        <f>Empresas!X29/Empresas!X17-1</f>
        <v>8.398572221664824E-2</v>
      </c>
      <c r="Y29" s="26">
        <f>Empresas!Y29/Empresas!Y17-1</f>
        <v>0.11926810665196563</v>
      </c>
      <c r="Z29" s="26">
        <f>Empresas!Z29/Empresas!Z17-1</f>
        <v>9.0466534855322411E-2</v>
      </c>
      <c r="AA29" s="26">
        <f>Empresas!AA29/Empresas!AA17-1</f>
        <v>0.10368708029589113</v>
      </c>
      <c r="AB29" s="27">
        <f>Empresas!AB29/Empresas!AB17-1</f>
        <v>0.13181101016335472</v>
      </c>
      <c r="AC29" s="25">
        <f>Empresas!AC29/Empresas!AC17-1</f>
        <v>0.20615905245346489</v>
      </c>
      <c r="AD29" s="20">
        <f>Empresas!AD29/Empresas!AD17-1</f>
        <v>0.10081451868863778</v>
      </c>
      <c r="AE29" s="20">
        <f>Empresas!AE29/Empresas!AE17-1</f>
        <v>6.1424639577177587E-2</v>
      </c>
      <c r="AF29" s="20">
        <f>Empresas!AF29/Empresas!AF17-1</f>
        <v>0.16746483922524025</v>
      </c>
      <c r="AG29" s="25">
        <f>Empresas!AG29/Empresas!AG17-1</f>
        <v>0.11268598610634939</v>
      </c>
      <c r="AH29" s="26">
        <f>Empresas!AH29/Empresas!AH17-1</f>
        <v>6.3100451459999318E-2</v>
      </c>
      <c r="AI29" s="27">
        <f>Empresas!AI29/Empresas!AI17-1</f>
        <v>8.3885613522025615E-2</v>
      </c>
      <c r="AJ29" s="28">
        <f>Empresas!AJ29/Empresas!AJ17-1</f>
        <v>0.11146138390831517</v>
      </c>
    </row>
    <row r="30" spans="1:36" x14ac:dyDescent="0.35">
      <c r="A30" s="32">
        <v>46054</v>
      </c>
      <c r="B30" s="19">
        <f>Empresas!B30/Empresas!B18-1</f>
        <v>0.1934707806465068</v>
      </c>
      <c r="C30" s="20">
        <f>Empresas!C30/Empresas!C18-1</f>
        <v>0.16469475690937907</v>
      </c>
      <c r="D30" s="20">
        <f>Empresas!D30/Empresas!D18-1</f>
        <v>0.21474049778843884</v>
      </c>
      <c r="E30" s="20">
        <f>Empresas!E30/Empresas!E18-1</f>
        <v>0.15315683801360525</v>
      </c>
      <c r="F30" s="20">
        <f>Empresas!F30/Empresas!F18-1</f>
        <v>9.6026578911628357E-2</v>
      </c>
      <c r="G30" s="20">
        <f>Empresas!G30/Empresas!G18-1</f>
        <v>7.5604996326447793E-2</v>
      </c>
      <c r="H30" s="20">
        <f>Empresas!H30/Empresas!H18-1</f>
        <v>0.14073937702383099</v>
      </c>
      <c r="I30" s="20">
        <f>Empresas!I30/Empresas!I18-1</f>
        <v>6.8679131836404395E-2</v>
      </c>
      <c r="J30" s="20">
        <f>Empresas!J30/Empresas!J18-1</f>
        <v>0.1463897087633641</v>
      </c>
      <c r="K30" s="20">
        <f>Empresas!K30/Empresas!K18-1</f>
        <v>8.1021515474157813E-2</v>
      </c>
      <c r="L30" s="20">
        <f>Empresas!L30/Empresas!L18-1</f>
        <v>0.12876768212573531</v>
      </c>
      <c r="M30" s="20">
        <f>Empresas!M30/Empresas!M18-1</f>
        <v>0.32999248019929639</v>
      </c>
      <c r="N30" s="20">
        <f>Empresas!N30/Empresas!N18-1</f>
        <v>0.24723448784823665</v>
      </c>
      <c r="O30" s="20">
        <f>Empresas!O30/Empresas!O18-1</f>
        <v>0.11687060274392969</v>
      </c>
      <c r="P30" s="20">
        <f>Empresas!P30/Empresas!P18-1</f>
        <v>0.2190183249841835</v>
      </c>
      <c r="Q30" s="20">
        <f>Empresas!Q30/Empresas!Q18-1</f>
        <v>0.16592464207836422</v>
      </c>
      <c r="R30" s="20">
        <f>Empresas!R30/Empresas!R18-1</f>
        <v>7.5120373519798722E-2</v>
      </c>
      <c r="S30" s="20">
        <f>Empresas!S30/Empresas!S18-1</f>
        <v>0.13223955718020775</v>
      </c>
      <c r="T30" s="20">
        <f>Empresas!T30/Empresas!T18-1</f>
        <v>5.5770438535266864E-2</v>
      </c>
      <c r="U30" s="20">
        <f>Empresas!U30/Empresas!U18-1</f>
        <v>9.1204911724754645E-2</v>
      </c>
      <c r="V30" s="20">
        <f>Empresas!V30/Empresas!V18-1</f>
        <v>0.12520491310474702</v>
      </c>
      <c r="W30" s="20">
        <f>Empresas!W30/Empresas!W18-1</f>
        <v>0.2479249000058017</v>
      </c>
      <c r="X30" s="20">
        <f>Empresas!X30/Empresas!X18-1</f>
        <v>0.13244651460359669</v>
      </c>
      <c r="Y30" s="20">
        <f>Empresas!Y30/Empresas!Y18-1</f>
        <v>-4.0697225279770932E-2</v>
      </c>
      <c r="Z30" s="20">
        <f>Empresas!Z30/Empresas!Z18-1</f>
        <v>7.2986678867447141E-2</v>
      </c>
      <c r="AA30" s="20">
        <f>Empresas!AA30/Empresas!AA18-1</f>
        <v>7.558368356146139E-2</v>
      </c>
      <c r="AB30" s="21">
        <f>Empresas!AB30/Empresas!AB18-1</f>
        <v>0.18299105098716906</v>
      </c>
      <c r="AC30" s="19">
        <f>Empresas!AC30/Empresas!AC18-1</f>
        <v>0.17740728138823503</v>
      </c>
      <c r="AD30" s="20">
        <f>Empresas!AD30/Empresas!AD18-1</f>
        <v>6.9284711984862524E-2</v>
      </c>
      <c r="AE30" s="20">
        <f>Empresas!AE30/Empresas!AE18-1</f>
        <v>5.1939277967782305E-2</v>
      </c>
      <c r="AF30" s="20">
        <f>Empresas!AF30/Empresas!AF18-1</f>
        <v>0.1628666153624494</v>
      </c>
      <c r="AG30" s="19">
        <f>Empresas!AG30/Empresas!AG18-1</f>
        <v>9.9070172708621618E-2</v>
      </c>
      <c r="AH30" s="20">
        <f>Empresas!AH30/Empresas!AH18-1</f>
        <v>0.10517987840109355</v>
      </c>
      <c r="AI30" s="21">
        <f>Empresas!AI30/Empresas!AI18-1</f>
        <v>0.17303891066991972</v>
      </c>
      <c r="AJ30" s="21">
        <f>Empresas!AJ30/Empresas!AJ18-1</f>
        <v>9.9867333284781701E-2</v>
      </c>
    </row>
    <row r="31" spans="1:36" x14ac:dyDescent="0.35">
      <c r="A31" s="32">
        <v>46082</v>
      </c>
      <c r="B31" s="19">
        <f>Empresas!B31/Empresas!B19-1</f>
        <v>0.18316781867942744</v>
      </c>
      <c r="C31" s="20">
        <f>Empresas!C31/Empresas!C19-1</f>
        <v>0.21623531887206915</v>
      </c>
      <c r="D31" s="20">
        <f>Empresas!D31/Empresas!D19-1</f>
        <v>0.2892978230538914</v>
      </c>
      <c r="E31" s="20">
        <f>Empresas!E31/Empresas!E19-1</f>
        <v>0.18424881816058081</v>
      </c>
      <c r="F31" s="20">
        <f>Empresas!F31/Empresas!F19-1</f>
        <v>0.15951854013664191</v>
      </c>
      <c r="G31" s="20">
        <f>Empresas!G31/Empresas!G19-1</f>
        <v>0.20610642051684347</v>
      </c>
      <c r="H31" s="20">
        <f>Empresas!H31/Empresas!H19-1</f>
        <v>0.17238678432315213</v>
      </c>
      <c r="I31" s="20">
        <f>Empresas!I31/Empresas!I19-1</f>
        <v>0.17026682409447158</v>
      </c>
      <c r="J31" s="20">
        <f>Empresas!J31/Empresas!J19-1</f>
        <v>0.18422019779172882</v>
      </c>
      <c r="K31" s="20">
        <f>Empresas!K31/Empresas!K19-1</f>
        <v>0.16511104454053305</v>
      </c>
      <c r="L31" s="20">
        <f>Empresas!L31/Empresas!L19-1</f>
        <v>0.17866136571642555</v>
      </c>
      <c r="M31" s="20">
        <f>Empresas!M31/Empresas!M19-1</f>
        <v>0.23533301959670716</v>
      </c>
      <c r="N31" s="20">
        <f>Empresas!N31/Empresas!N19-1</f>
        <v>0.11678506115232823</v>
      </c>
      <c r="O31" s="20">
        <f>Empresas!O31/Empresas!O19-1</f>
        <v>0.12816750030022073</v>
      </c>
      <c r="P31" s="20">
        <f>Empresas!P31/Empresas!P19-1</f>
        <v>0.26690759728250968</v>
      </c>
      <c r="Q31" s="20">
        <f>Empresas!Q31/Empresas!Q19-1</f>
        <v>0.21221835518437127</v>
      </c>
      <c r="R31" s="20">
        <f>Empresas!R31/Empresas!R19-1</f>
        <v>0.14869815646621398</v>
      </c>
      <c r="S31" s="20">
        <f>Empresas!S31/Empresas!S19-1</f>
        <v>7.5387787237437109E-2</v>
      </c>
      <c r="T31" s="20">
        <f>Empresas!T31/Empresas!T19-1</f>
        <v>0.14614914203798901</v>
      </c>
      <c r="U31" s="20">
        <f>Empresas!U31/Empresas!U19-1</f>
        <v>3.121004645761527E-2</v>
      </c>
      <c r="V31" s="20">
        <f>Empresas!V31/Empresas!V19-1</f>
        <v>0.10632464841729039</v>
      </c>
      <c r="W31" s="20">
        <f>Empresas!W31/Empresas!W19-1</f>
        <v>0.32554565757181608</v>
      </c>
      <c r="X31" s="20">
        <f>Empresas!X31/Empresas!X19-1</f>
        <v>2.4908142242369591E-2</v>
      </c>
      <c r="Y31" s="20">
        <f>Empresas!Y31/Empresas!Y19-1</f>
        <v>-4.7707312191479168E-2</v>
      </c>
      <c r="Z31" s="20">
        <f>Empresas!Z31/Empresas!Z19-1</f>
        <v>0.11948280085795937</v>
      </c>
      <c r="AA31" s="20">
        <f>Empresas!AA31/Empresas!AA19-1</f>
        <v>0.13021843886838891</v>
      </c>
      <c r="AB31" s="21">
        <f>Empresas!AB31/Empresas!AB19-1</f>
        <v>0.16147204033702445</v>
      </c>
      <c r="AC31" s="19">
        <f>Empresas!AC31/Empresas!AC19-1</f>
        <v>0.24061724742244661</v>
      </c>
      <c r="AD31" s="20">
        <f>Empresas!AD31/Empresas!AD19-1</f>
        <v>8.0329489873397719E-2</v>
      </c>
      <c r="AE31" s="20">
        <f>Empresas!AE31/Empresas!AE19-1</f>
        <v>0.10404959480110754</v>
      </c>
      <c r="AF31" s="20">
        <f>Empresas!AF31/Empresas!AF19-1</f>
        <v>0.15068080612012347</v>
      </c>
      <c r="AG31" s="19">
        <f>Empresas!AG31/Empresas!AG19-1</f>
        <v>0.12317806913355023</v>
      </c>
      <c r="AH31" s="20">
        <f>Empresas!AH31/Empresas!AH19-1</f>
        <v>1.5261581996767859E-2</v>
      </c>
      <c r="AI31" s="21">
        <f>Empresas!AI31/Empresas!AI19-1</f>
        <v>8.9813496388981395E-2</v>
      </c>
      <c r="AJ31" s="21">
        <f>Empresas!AJ31/Empresas!AJ19-1</f>
        <v>0.12052297770716747</v>
      </c>
    </row>
    <row r="32" spans="1:36" x14ac:dyDescent="0.35">
      <c r="A32" s="32">
        <v>46113</v>
      </c>
      <c r="B32" s="19">
        <f>Empresas!B32/Empresas!B20-1</f>
        <v>3.4434422443457624E-2</v>
      </c>
      <c r="C32" s="20">
        <f>Empresas!C32/Empresas!C20-1</f>
        <v>9.3993935890113622E-2</v>
      </c>
      <c r="D32" s="20">
        <f>Empresas!D32/Empresas!D20-1</f>
        <v>0.11966300037627509</v>
      </c>
      <c r="E32" s="20">
        <f>Empresas!E32/Empresas!E20-1</f>
        <v>3.8120227392135053E-2</v>
      </c>
      <c r="F32" s="20">
        <f>Empresas!F32/Empresas!F20-1</f>
        <v>6.6159090704758672E-2</v>
      </c>
      <c r="G32" s="20">
        <f>Empresas!G32/Empresas!G20-1</f>
        <v>0.10004131324896437</v>
      </c>
      <c r="H32" s="20">
        <f>Empresas!H32/Empresas!H20-1</f>
        <v>-1.188799734325019E-2</v>
      </c>
      <c r="I32" s="20">
        <f>Empresas!I32/Empresas!I20-1</f>
        <v>-1.6608656573379843E-2</v>
      </c>
      <c r="J32" s="20">
        <f>Empresas!J32/Empresas!J20-1</f>
        <v>6.7969996387031273E-2</v>
      </c>
      <c r="K32" s="20">
        <f>Empresas!K32/Empresas!K20-1</f>
        <v>6.3344118335075139E-2</v>
      </c>
      <c r="L32" s="20">
        <f>Empresas!L32/Empresas!L20-1</f>
        <v>6.9724376729667137E-2</v>
      </c>
      <c r="M32" s="20">
        <f>Empresas!M32/Empresas!M20-1</f>
        <v>0.15582458775640884</v>
      </c>
      <c r="N32" s="20">
        <f>Empresas!N32/Empresas!N20-1</f>
        <v>0.10621650753679046</v>
      </c>
      <c r="O32" s="20">
        <f>Empresas!O32/Empresas!O20-1</f>
        <v>6.7862552723097602E-2</v>
      </c>
      <c r="P32" s="20">
        <f>Empresas!P32/Empresas!P20-1</f>
        <v>0.16023773292239052</v>
      </c>
      <c r="Q32" s="20">
        <f>Empresas!Q32/Empresas!Q20-1</f>
        <v>0.10253671315426471</v>
      </c>
      <c r="R32" s="20">
        <f>Empresas!R32/Empresas!R20-1</f>
        <v>8.0883526537916195E-2</v>
      </c>
      <c r="S32" s="20">
        <f>Empresas!S32/Empresas!S20-1</f>
        <v>8.6060512317111426E-2</v>
      </c>
      <c r="T32" s="20">
        <f>Empresas!T32/Empresas!T20-1</f>
        <v>-0.16855049874475603</v>
      </c>
      <c r="U32" s="20">
        <f>Empresas!U32/Empresas!U20-1</f>
        <v>3.669484123371447E-2</v>
      </c>
      <c r="V32" s="20">
        <f>Empresas!V32/Empresas!V20-1</f>
        <v>7.3471087114832745E-2</v>
      </c>
      <c r="W32" s="20">
        <f>Empresas!W32/Empresas!W20-1</f>
        <v>0.14393226509954982</v>
      </c>
      <c r="X32" s="20">
        <f>Empresas!X32/Empresas!X20-1</f>
        <v>-5.1441079960236058E-3</v>
      </c>
      <c r="Y32" s="20">
        <f>Empresas!Y32/Empresas!Y20-1</f>
        <v>7.5604039703170534E-2</v>
      </c>
      <c r="Z32" s="20">
        <f>Empresas!Z32/Empresas!Z20-1</f>
        <v>5.2988363912161107E-2</v>
      </c>
      <c r="AA32" s="20">
        <f>Empresas!AA32/Empresas!AA20-1</f>
        <v>8.3123063516780782E-2</v>
      </c>
      <c r="AB32" s="21">
        <f>Empresas!AB32/Empresas!AB20-1</f>
        <v>0.10301132404454139</v>
      </c>
      <c r="AC32" s="19">
        <f>Empresas!AC32/Empresas!AC20-1</f>
        <v>0.13182846727771369</v>
      </c>
      <c r="AD32" s="20">
        <f>Empresas!AD32/Empresas!AD20-1</f>
        <v>2.5713926879149973E-2</v>
      </c>
      <c r="AE32" s="20">
        <f>Empresas!AE32/Empresas!AE20-1</f>
        <v>2.8709226388828002E-2</v>
      </c>
      <c r="AF32" s="20">
        <f>Empresas!AF32/Empresas!AF20-1</f>
        <v>8.8506968399365116E-2</v>
      </c>
      <c r="AG32" s="19">
        <f>Empresas!AG32/Empresas!AG20-1</f>
        <v>5.4045523507632032E-2</v>
      </c>
      <c r="AH32" s="20">
        <f>Empresas!AH32/Empresas!AH20-1</f>
        <v>1.2484100584977398E-2</v>
      </c>
      <c r="AI32" s="21">
        <f>Empresas!AI32/Empresas!AI20-1</f>
        <v>4.8789926155917485E-2</v>
      </c>
      <c r="AJ32" s="21">
        <f>Empresas!AJ32/Empresas!AJ20-1</f>
        <v>5.3123564521218247E-2</v>
      </c>
    </row>
    <row r="33" spans="1:36" x14ac:dyDescent="0.35">
      <c r="A33" s="32">
        <v>46143</v>
      </c>
      <c r="B33" s="19">
        <f>Empresas!B33/Empresas!B21-1</f>
        <v>-7.7802570196635612E-2</v>
      </c>
      <c r="C33" s="20">
        <f>Empresas!C33/Empresas!C21-1</f>
        <v>5.0265601756542821E-3</v>
      </c>
      <c r="D33" s="20">
        <f>Empresas!D33/Empresas!D21-1</f>
        <v>9.555574981480186E-3</v>
      </c>
      <c r="E33" s="20">
        <f>Empresas!E33/Empresas!E21-1</f>
        <v>1.5329785120035577E-2</v>
      </c>
      <c r="F33" s="20">
        <f>Empresas!F33/Empresas!F21-1</f>
        <v>1.9974426193507533E-3</v>
      </c>
      <c r="G33" s="20">
        <f>Empresas!G33/Empresas!G21-1</f>
        <v>2.2482568866888375E-2</v>
      </c>
      <c r="H33" s="20">
        <f>Empresas!H33/Empresas!H21-1</f>
        <v>-1.3284121759108425E-3</v>
      </c>
      <c r="I33" s="20">
        <f>Empresas!I33/Empresas!I21-1</f>
        <v>-8.939346254925995E-2</v>
      </c>
      <c r="J33" s="20">
        <f>Empresas!J33/Empresas!J21-1</f>
        <v>-1.2145882154203758E-2</v>
      </c>
      <c r="K33" s="20">
        <f>Empresas!K33/Empresas!K21-1</f>
        <v>1.2846673992459312E-2</v>
      </c>
      <c r="L33" s="20">
        <f>Empresas!L33/Empresas!L21-1</f>
        <v>1.9452843279851306E-2</v>
      </c>
      <c r="M33" s="20">
        <f>Empresas!M33/Empresas!M21-1</f>
        <v>0.10307556717583299</v>
      </c>
      <c r="N33" s="20">
        <f>Empresas!N33/Empresas!N21-1</f>
        <v>-3.5579146265987682E-2</v>
      </c>
      <c r="O33" s="20">
        <f>Empresas!O33/Empresas!O21-1</f>
        <v>-3.6684488700293061E-2</v>
      </c>
      <c r="P33" s="20">
        <f>Empresas!P33/Empresas!P21-1</f>
        <v>0.18575616933287264</v>
      </c>
      <c r="Q33" s="20">
        <f>Empresas!Q33/Empresas!Q21-1</f>
        <v>4.1045762932337082E-2</v>
      </c>
      <c r="R33" s="20">
        <f>Empresas!R33/Empresas!R21-1</f>
        <v>1.9627824323518395E-2</v>
      </c>
      <c r="S33" s="20">
        <f>Empresas!S33/Empresas!S21-1</f>
        <v>4.3819174428683993E-2</v>
      </c>
      <c r="T33" s="20">
        <f>Empresas!T33/Empresas!T21-1</f>
        <v>-0.20575786810976282</v>
      </c>
      <c r="U33" s="20">
        <f>Empresas!U33/Empresas!U21-1</f>
        <v>-3.1462942337807998E-2</v>
      </c>
      <c r="V33" s="20">
        <f>Empresas!V33/Empresas!V21-1</f>
        <v>4.1154031308276995E-3</v>
      </c>
      <c r="W33" s="20">
        <f>Empresas!W33/Empresas!W21-1</f>
        <v>7.0785481010273932E-2</v>
      </c>
      <c r="X33" s="20">
        <f>Empresas!X33/Empresas!X21-1</f>
        <v>-1.9643973205484277E-2</v>
      </c>
      <c r="Y33" s="20">
        <f>Empresas!Y33/Empresas!Y21-1</f>
        <v>1.5036813432531604E-2</v>
      </c>
      <c r="Z33" s="20">
        <f>Empresas!Z33/Empresas!Z21-1</f>
        <v>3.2563350022588589E-2</v>
      </c>
      <c r="AA33" s="20">
        <f>Empresas!AA33/Empresas!AA21-1</f>
        <v>5.9582170696899306E-2</v>
      </c>
      <c r="AB33" s="21">
        <f>Empresas!AB33/Empresas!AB21-1</f>
        <v>9.1684838958479009E-3</v>
      </c>
      <c r="AC33" s="19">
        <f>Empresas!AC33/Empresas!AC21-1</f>
        <v>6.6403173404634419E-2</v>
      </c>
      <c r="AD33" s="20">
        <f>Empresas!AD33/Empresas!AD21-1</f>
        <v>-5.5978350813307154E-3</v>
      </c>
      <c r="AE33" s="20">
        <f>Empresas!AE33/Empresas!AE21-1</f>
        <v>-3.0458333066307186E-2</v>
      </c>
      <c r="AF33" s="20">
        <f>Empresas!AF33/Empresas!AF21-1</f>
        <v>4.8486545670795023E-2</v>
      </c>
      <c r="AG33" s="19">
        <f>Empresas!AG33/Empresas!AG21-1</f>
        <v>5.2489646137552359E-3</v>
      </c>
      <c r="AH33" s="20">
        <f>Empresas!AH33/Empresas!AH21-1</f>
        <v>2.7775142642520567E-2</v>
      </c>
      <c r="AI33" s="21">
        <f>Empresas!AI33/Empresas!AI21-1</f>
        <v>7.0106572197596639E-2</v>
      </c>
      <c r="AJ33" s="21">
        <f>Empresas!AJ33/Empresas!AJ21-1</f>
        <v>6.2445606969423473E-3</v>
      </c>
    </row>
    <row r="34" spans="1:36" x14ac:dyDescent="0.35">
      <c r="A34" s="32">
        <v>46174</v>
      </c>
      <c r="B34" s="19">
        <f>Empresas!B34/Empresas!B22-1</f>
        <v>-2.3264900047578529E-2</v>
      </c>
      <c r="C34" s="20">
        <f>Empresas!C34/Empresas!C22-1</f>
        <v>8.1296733310129099E-2</v>
      </c>
      <c r="D34" s="20">
        <f>Empresas!D34/Empresas!D22-1</f>
        <v>-4.4803984601885505E-3</v>
      </c>
      <c r="E34" s="20">
        <f>Empresas!E34/Empresas!E22-1</f>
        <v>1.6497325931778883E-2</v>
      </c>
      <c r="F34" s="20">
        <f>Empresas!F34/Empresas!F22-1</f>
        <v>5.7546992528385577E-2</v>
      </c>
      <c r="G34" s="20">
        <f>Empresas!G34/Empresas!G22-1</f>
        <v>5.7000531294774115E-2</v>
      </c>
      <c r="H34" s="20">
        <f>Empresas!H34/Empresas!H22-1</f>
        <v>5.9589598903401653E-2</v>
      </c>
      <c r="I34" s="20">
        <f>Empresas!I34/Empresas!I22-1</f>
        <v>1.7689611532539784E-2</v>
      </c>
      <c r="J34" s="20">
        <f>Empresas!J34/Empresas!J22-1</f>
        <v>5.4718986565157612E-2</v>
      </c>
      <c r="K34" s="20">
        <f>Empresas!K34/Empresas!K22-1</f>
        <v>9.6261565011944716E-2</v>
      </c>
      <c r="L34" s="20">
        <f>Empresas!L34/Empresas!L22-1</f>
        <v>9.3598477693133564E-2</v>
      </c>
      <c r="M34" s="20">
        <f>Empresas!M34/Empresas!M22-1</f>
        <v>0.18730132638797614</v>
      </c>
      <c r="N34" s="20">
        <f>Empresas!N34/Empresas!N22-1</f>
        <v>4.7811068619920682E-2</v>
      </c>
      <c r="O34" s="20">
        <f>Empresas!O34/Empresas!O22-1</f>
        <v>6.2802507231514149E-3</v>
      </c>
      <c r="P34" s="20">
        <f>Empresas!P34/Empresas!P22-1</f>
        <v>8.8705655331863253E-2</v>
      </c>
      <c r="Q34" s="20">
        <f>Empresas!Q34/Empresas!Q22-1</f>
        <v>0.12788660121355688</v>
      </c>
      <c r="R34" s="20">
        <f>Empresas!R34/Empresas!R22-1</f>
        <v>9.0826471371669104E-2</v>
      </c>
      <c r="S34" s="20">
        <f>Empresas!S34/Empresas!S22-1</f>
        <v>9.5672587319712621E-2</v>
      </c>
      <c r="T34" s="20">
        <f>Empresas!T34/Empresas!T22-1</f>
        <v>-1.7501586962454851E-2</v>
      </c>
      <c r="U34" s="20">
        <f>Empresas!U34/Empresas!U22-1</f>
        <v>6.9547747474811183E-2</v>
      </c>
      <c r="V34" s="20">
        <f>Empresas!V34/Empresas!V22-1</f>
        <v>7.7520210750200658E-2</v>
      </c>
      <c r="W34" s="20">
        <f>Empresas!W34/Empresas!W22-1</f>
        <v>6.2633250769868143E-2</v>
      </c>
      <c r="X34" s="20">
        <f>Empresas!X34/Empresas!X22-1</f>
        <v>1.6823506966991308E-2</v>
      </c>
      <c r="Y34" s="20">
        <f>Empresas!Y34/Empresas!Y22-1</f>
        <v>7.8832479391552468E-2</v>
      </c>
      <c r="Z34" s="20">
        <f>Empresas!Z34/Empresas!Z22-1</f>
        <v>8.2647880656516293E-2</v>
      </c>
      <c r="AA34" s="20">
        <f>Empresas!AA34/Empresas!AA22-1</f>
        <v>8.0181234011973634E-2</v>
      </c>
      <c r="AB34" s="21">
        <f>Empresas!AB34/Empresas!AB22-1</f>
        <v>3.0955899702262535E-2</v>
      </c>
      <c r="AC34" s="19">
        <f>Empresas!AC34/Empresas!AC22-1</f>
        <v>0.14839714962687056</v>
      </c>
      <c r="AD34" s="20">
        <f>Empresas!AD34/Empresas!AD22-1</f>
        <v>4.0890067775843253E-2</v>
      </c>
      <c r="AE34" s="20">
        <f>Empresas!AE34/Empresas!AE22-1</f>
        <v>2.0524170248495288E-2</v>
      </c>
      <c r="AF34" s="20">
        <f>Empresas!AF34/Empresas!AF22-1</f>
        <v>0.12019080648198655</v>
      </c>
      <c r="AG34" s="19">
        <f>Empresas!AG34/Empresas!AG22-1</f>
        <v>6.5639920155412312E-2</v>
      </c>
      <c r="AH34" s="20">
        <f>Empresas!AH34/Empresas!AH22-1</f>
        <v>6.171241252364168E-2</v>
      </c>
      <c r="AI34" s="21">
        <f>Empresas!AI34/Empresas!AI22-1</f>
        <v>0.10009395532349497</v>
      </c>
      <c r="AJ34" s="21">
        <f>Empresas!AJ34/Empresas!AJ22-1</f>
        <v>6.5860136195595276E-2</v>
      </c>
    </row>
    <row r="35" spans="1:36" x14ac:dyDescent="0.35">
      <c r="A35" s="32">
        <v>46204</v>
      </c>
      <c r="B35" s="19">
        <f>Empresas!B35/Empresas!B23-1</f>
        <v>0.16264428938962094</v>
      </c>
      <c r="C35" s="20">
        <f>Empresas!C35/Empresas!C23-1</f>
        <v>0.23856133066293084</v>
      </c>
      <c r="D35" s="20">
        <f>Empresas!D35/Empresas!D23-1</f>
        <v>8.1591400392164948E-2</v>
      </c>
      <c r="E35" s="20">
        <f>Empresas!E35/Empresas!E23-1</f>
        <v>0.22148665179364091</v>
      </c>
      <c r="F35" s="20">
        <f>Empresas!F35/Empresas!F23-1</f>
        <v>0.18654500072509439</v>
      </c>
      <c r="G35" s="20">
        <f>Empresas!G35/Empresas!G23-1</f>
        <v>0.1633811431931238</v>
      </c>
      <c r="H35" s="20">
        <f>Empresas!H35/Empresas!H23-1</f>
        <v>0.22472274686730653</v>
      </c>
      <c r="I35" s="20">
        <f>Empresas!I35/Empresas!I23-1</f>
        <v>0.14445374439223668</v>
      </c>
      <c r="J35" s="20">
        <f>Empresas!J35/Empresas!J23-1</f>
        <v>0.20547321672358798</v>
      </c>
      <c r="K35" s="20">
        <f>Empresas!K35/Empresas!K23-1</f>
        <v>0.14455590070857283</v>
      </c>
      <c r="L35" s="20">
        <f>Empresas!L35/Empresas!L23-1</f>
        <v>0.21228504635721324</v>
      </c>
      <c r="M35" s="20">
        <f>Empresas!M35/Empresas!M23-1</f>
        <v>0.26992391398102877</v>
      </c>
      <c r="N35" s="20">
        <f>Empresas!N35/Empresas!N23-1</f>
        <v>0.18116690861718365</v>
      </c>
      <c r="O35" s="20">
        <f>Empresas!O35/Empresas!O23-1</f>
        <v>0.13989464662150586</v>
      </c>
      <c r="P35" s="20">
        <f>Empresas!P35/Empresas!P23-1</f>
        <v>0.22747135297260535</v>
      </c>
      <c r="Q35" s="20">
        <f>Empresas!Q35/Empresas!Q23-1</f>
        <v>0.24956716818579316</v>
      </c>
      <c r="R35" s="20">
        <f>Empresas!R35/Empresas!R23-1</f>
        <v>0.17141773056790033</v>
      </c>
      <c r="S35" s="20">
        <f>Empresas!S35/Empresas!S23-1</f>
        <v>0.18079932349408945</v>
      </c>
      <c r="T35" s="20">
        <f>Empresas!T35/Empresas!T23-1</f>
        <v>0.1642169519103871</v>
      </c>
      <c r="U35" s="20">
        <f>Empresas!U35/Empresas!U23-1</f>
        <v>0.20936103234783632</v>
      </c>
      <c r="V35" s="20">
        <f>Empresas!V35/Empresas!V23-1</f>
        <v>0.14149834293626773</v>
      </c>
      <c r="W35" s="20">
        <f>Empresas!W35/Empresas!W23-1</f>
        <v>0.22655798126233884</v>
      </c>
      <c r="X35" s="20">
        <f>Empresas!X35/Empresas!X23-1</f>
        <v>0.11391870269354709</v>
      </c>
      <c r="Y35" s="20">
        <f>Empresas!Y35/Empresas!Y23-1</f>
        <v>0.14033496174014859</v>
      </c>
      <c r="Z35" s="20">
        <f>Empresas!Z35/Empresas!Z23-1</f>
        <v>0.16572782293025434</v>
      </c>
      <c r="AA35" s="20">
        <f>Empresas!AA35/Empresas!AA23-1</f>
        <v>0.17772222622699974</v>
      </c>
      <c r="AB35" s="21">
        <f>Empresas!AB35/Empresas!AB23-1</f>
        <v>0.10671113056475012</v>
      </c>
      <c r="AC35" s="19">
        <f>Empresas!AC35/Empresas!AC23-1</f>
        <v>0.13362165732599807</v>
      </c>
      <c r="AD35" s="20">
        <f>Empresas!AD35/Empresas!AD23-1</f>
        <v>0.12157577366958838</v>
      </c>
      <c r="AE35" s="20">
        <f>Empresas!AE35/Empresas!AE23-1</f>
        <v>9.0684461220865042E-2</v>
      </c>
      <c r="AF35" s="20">
        <f>Empresas!AF35/Empresas!AF23-1</f>
        <v>0.29003373658132636</v>
      </c>
      <c r="AG35" s="19">
        <f>Empresas!AG35/Empresas!AG23-1</f>
        <v>0.17932601383008029</v>
      </c>
      <c r="AH35" s="20">
        <f>Empresas!AH35/Empresas!AH23-1</f>
        <v>4.2096433490753205E-2</v>
      </c>
      <c r="AI35" s="21">
        <f>Empresas!AI35/Empresas!AI23-1</f>
        <v>8.5385424224348805E-2</v>
      </c>
      <c r="AJ35" s="21">
        <f>Empresas!AJ35/Empresas!AJ23-1</f>
        <v>0.17584258218224091</v>
      </c>
    </row>
    <row r="36" spans="1:36" x14ac:dyDescent="0.35">
      <c r="A36" s="32">
        <v>46235</v>
      </c>
      <c r="B36" s="19">
        <f>Empresas!B36/Empresas!B24-1</f>
        <v>-7.7584527944248305E-2</v>
      </c>
      <c r="C36" s="20">
        <f>Empresas!C36/Empresas!C24-1</f>
        <v>0.1101877347661766</v>
      </c>
      <c r="D36" s="20">
        <f>Empresas!D36/Empresas!D24-1</f>
        <v>-4.0472748741957942E-2</v>
      </c>
      <c r="E36" s="20">
        <f>Empresas!E36/Empresas!E24-1</f>
        <v>1.3998279882017073E-2</v>
      </c>
      <c r="F36" s="20">
        <f>Empresas!F36/Empresas!F24-1</f>
        <v>7.0775239580948224E-2</v>
      </c>
      <c r="G36" s="20">
        <f>Empresas!G36/Empresas!G24-1</f>
        <v>2.6682822980692134E-2</v>
      </c>
      <c r="H36" s="20">
        <f>Empresas!H36/Empresas!H24-1</f>
        <v>8.9647419077125479E-2</v>
      </c>
      <c r="I36" s="20">
        <f>Empresas!I36/Empresas!I24-1</f>
        <v>2.6496520285047565E-2</v>
      </c>
      <c r="J36" s="20">
        <f>Empresas!J36/Empresas!J24-1</f>
        <v>5.116057518337791E-2</v>
      </c>
      <c r="K36" s="20">
        <f>Empresas!K36/Empresas!K24-1</f>
        <v>5.8410256988583598E-4</v>
      </c>
      <c r="L36" s="20">
        <f>Empresas!L36/Empresas!L24-1</f>
        <v>6.5370481634078992E-2</v>
      </c>
      <c r="M36" s="20">
        <f>Empresas!M36/Empresas!M24-1</f>
        <v>1.0318194057626462E-2</v>
      </c>
      <c r="N36" s="20">
        <f>Empresas!N36/Empresas!N24-1</f>
        <v>4.4999136504483284E-2</v>
      </c>
      <c r="O36" s="20">
        <f>Empresas!O36/Empresas!O24-1</f>
        <v>3.2462898935550211E-3</v>
      </c>
      <c r="P36" s="20">
        <f>Empresas!P36/Empresas!P24-1</f>
        <v>6.4239041228665528E-2</v>
      </c>
      <c r="Q36" s="20">
        <f>Empresas!Q36/Empresas!Q24-1</f>
        <v>0.11727348249056346</v>
      </c>
      <c r="R36" s="20">
        <f>Empresas!R36/Empresas!R24-1</f>
        <v>-2.3376586256262932E-4</v>
      </c>
      <c r="S36" s="20">
        <f>Empresas!S36/Empresas!S24-1</f>
        <v>7.3049042003347608E-2</v>
      </c>
      <c r="T36" s="20">
        <f>Empresas!T36/Empresas!T24-1</f>
        <v>-1.9621462259967748E-3</v>
      </c>
      <c r="U36" s="20">
        <f>Empresas!U36/Empresas!U24-1</f>
        <v>7.2346380966847867E-2</v>
      </c>
      <c r="V36" s="20">
        <f>Empresas!V36/Empresas!V24-1</f>
        <v>2.4007419963568699E-2</v>
      </c>
      <c r="W36" s="20">
        <f>Empresas!W36/Empresas!W24-1</f>
        <v>5.586470829212864E-2</v>
      </c>
      <c r="X36" s="20">
        <f>Empresas!X36/Empresas!X24-1</f>
        <v>-2.2222975474298301E-2</v>
      </c>
      <c r="Y36" s="20">
        <f>Empresas!Y36/Empresas!Y24-1</f>
        <v>5.0530305593810665E-2</v>
      </c>
      <c r="Z36" s="20">
        <f>Empresas!Z36/Empresas!Z24-1</f>
        <v>9.4629087576688198E-2</v>
      </c>
      <c r="AA36" s="20">
        <f>Empresas!AA36/Empresas!AA24-1</f>
        <v>8.7157168234778259E-2</v>
      </c>
      <c r="AB36" s="21">
        <f>Empresas!AB36/Empresas!AB24-1</f>
        <v>1.2137151846972838E-2</v>
      </c>
      <c r="AC36" s="19">
        <f>Empresas!AC36/Empresas!AC24-1</f>
        <v>0.13762890480274326</v>
      </c>
      <c r="AD36" s="20">
        <f>Empresas!AD36/Empresas!AD24-1</f>
        <v>3.2081099918486178E-3</v>
      </c>
      <c r="AE36" s="20">
        <f>Empresas!AE36/Empresas!AE24-1</f>
        <v>1.2879294232566618E-2</v>
      </c>
      <c r="AF36" s="20">
        <f>Empresas!AF36/Empresas!AF24-1</f>
        <v>0.11328874741783546</v>
      </c>
      <c r="AG36" s="19">
        <f>Empresas!AG36/Empresas!AG24-1</f>
        <v>5.654588819166384E-2</v>
      </c>
      <c r="AH36" s="20">
        <f>Empresas!AH36/Empresas!AH24-1</f>
        <v>-7.5495817945924526E-2</v>
      </c>
      <c r="AI36" s="21">
        <f>Empresas!AI36/Empresas!AI24-1</f>
        <v>2.1606178965692946E-2</v>
      </c>
      <c r="AJ36" s="21">
        <f>Empresas!AJ36/Empresas!AJ24-1</f>
        <v>5.3279376760700048E-2</v>
      </c>
    </row>
    <row r="37" spans="1:36" x14ac:dyDescent="0.35">
      <c r="A37" s="32">
        <v>46266</v>
      </c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19"/>
      <c r="AD37" s="20"/>
      <c r="AE37" s="20"/>
      <c r="AF37" s="20"/>
      <c r="AG37" s="19"/>
      <c r="AH37" s="20"/>
      <c r="AI37" s="21"/>
      <c r="AJ37" s="21"/>
    </row>
    <row r="38" spans="1:36" x14ac:dyDescent="0.35">
      <c r="A38" s="32">
        <v>46296</v>
      </c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1"/>
      <c r="AC38" s="19"/>
      <c r="AD38" s="20"/>
      <c r="AE38" s="20"/>
      <c r="AF38" s="20"/>
      <c r="AG38" s="19"/>
      <c r="AH38" s="20"/>
      <c r="AI38" s="21"/>
      <c r="AJ38" s="21"/>
    </row>
    <row r="39" spans="1:36" x14ac:dyDescent="0.35">
      <c r="A39" s="32">
        <v>46327</v>
      </c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19"/>
      <c r="AD39" s="20"/>
      <c r="AE39" s="20"/>
      <c r="AF39" s="20"/>
      <c r="AG39" s="19"/>
      <c r="AH39" s="20"/>
      <c r="AI39" s="21"/>
      <c r="AJ39" s="21"/>
    </row>
    <row r="40" spans="1:36" ht="15" thickBot="1" x14ac:dyDescent="0.4">
      <c r="A40" s="33">
        <v>46357</v>
      </c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4"/>
      <c r="AC40" s="22"/>
      <c r="AD40" s="23"/>
      <c r="AE40" s="23"/>
      <c r="AF40" s="23"/>
      <c r="AG40" s="22"/>
      <c r="AH40" s="23"/>
      <c r="AI40" s="24"/>
      <c r="AJ40" s="24"/>
    </row>
  </sheetData>
  <mergeCells count="4">
    <mergeCell ref="A2:AJ2"/>
    <mergeCell ref="B3:AB3"/>
    <mergeCell ref="AG3:AI3"/>
    <mergeCell ref="AC3:AF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0"/>
  <sheetViews>
    <sheetView zoomScale="90" zoomScaleNormal="90" workbookViewId="0">
      <pane xSplit="1" ySplit="4" topLeftCell="I29" activePane="bottomRight" state="frozen"/>
      <selection activeCell="A233" sqref="A233:XFD244"/>
      <selection pane="topRight" activeCell="A233" sqref="A233:XFD244"/>
      <selection pane="bottomLeft" activeCell="A233" sqref="A233:XFD244"/>
      <selection pane="bottomRight" activeCell="A2" sqref="A2:AJ2"/>
    </sheetView>
  </sheetViews>
  <sheetFormatPr defaultColWidth="9.1796875" defaultRowHeight="14.5" x14ac:dyDescent="0.35"/>
  <cols>
    <col min="1" max="1" width="20.81640625" style="1" customWidth="1"/>
    <col min="2" max="28" width="9.1796875" style="1"/>
    <col min="29" max="29" width="12.54296875" style="1" bestFit="1" customWidth="1"/>
    <col min="30" max="16384" width="9.1796875" style="1"/>
  </cols>
  <sheetData>
    <row r="1" spans="1:36" ht="53" customHeight="1" x14ac:dyDescent="0.35"/>
    <row r="2" spans="1:36" ht="15" thickBot="1" x14ac:dyDescent="0.4">
      <c r="A2" s="40" t="s">
        <v>13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36" ht="15" thickBot="1" x14ac:dyDescent="0.4">
      <c r="B3" s="37" t="s">
        <v>42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37" t="s">
        <v>2</v>
      </c>
      <c r="AD3" s="38"/>
      <c r="AE3" s="38"/>
      <c r="AF3" s="39"/>
      <c r="AG3" s="37" t="s">
        <v>3</v>
      </c>
      <c r="AH3" s="38"/>
      <c r="AI3" s="39"/>
    </row>
    <row r="4" spans="1:36" ht="15" thickBot="1" x14ac:dyDescent="0.4">
      <c r="A4" s="2" t="s">
        <v>10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39</v>
      </c>
      <c r="Z4" s="4" t="s">
        <v>0</v>
      </c>
      <c r="AA4" s="4" t="s">
        <v>40</v>
      </c>
      <c r="AB4" s="5" t="s">
        <v>41</v>
      </c>
      <c r="AC4" s="4" t="s">
        <v>44</v>
      </c>
      <c r="AD4" s="4" t="s">
        <v>4</v>
      </c>
      <c r="AE4" s="4" t="s">
        <v>5</v>
      </c>
      <c r="AF4" s="4" t="s">
        <v>6</v>
      </c>
      <c r="AG4" s="3" t="s">
        <v>7</v>
      </c>
      <c r="AH4" s="4" t="s">
        <v>8</v>
      </c>
      <c r="AI4" s="5" t="s">
        <v>9</v>
      </c>
      <c r="AJ4" s="6" t="s">
        <v>1</v>
      </c>
    </row>
    <row r="5" spans="1:36" x14ac:dyDescent="0.35">
      <c r="A5" s="7">
        <v>45293</v>
      </c>
      <c r="B5" s="25" t="s">
        <v>15</v>
      </c>
      <c r="C5" s="26" t="s">
        <v>15</v>
      </c>
      <c r="D5" s="26" t="s">
        <v>15</v>
      </c>
      <c r="E5" s="26" t="s">
        <v>15</v>
      </c>
      <c r="F5" s="26" t="s">
        <v>15</v>
      </c>
      <c r="G5" s="26" t="s">
        <v>15</v>
      </c>
      <c r="H5" s="26" t="s">
        <v>15</v>
      </c>
      <c r="I5" s="26" t="s">
        <v>15</v>
      </c>
      <c r="J5" s="26" t="s">
        <v>15</v>
      </c>
      <c r="K5" s="26" t="s">
        <v>15</v>
      </c>
      <c r="L5" s="26" t="s">
        <v>15</v>
      </c>
      <c r="M5" s="26" t="s">
        <v>15</v>
      </c>
      <c r="N5" s="26" t="s">
        <v>15</v>
      </c>
      <c r="O5" s="26" t="s">
        <v>15</v>
      </c>
      <c r="P5" s="26" t="s">
        <v>15</v>
      </c>
      <c r="Q5" s="26" t="s">
        <v>15</v>
      </c>
      <c r="R5" s="26" t="s">
        <v>15</v>
      </c>
      <c r="S5" s="26" t="s">
        <v>15</v>
      </c>
      <c r="T5" s="26" t="s">
        <v>15</v>
      </c>
      <c r="U5" s="26" t="s">
        <v>15</v>
      </c>
      <c r="V5" s="26" t="s">
        <v>15</v>
      </c>
      <c r="W5" s="26" t="s">
        <v>15</v>
      </c>
      <c r="X5" s="26" t="s">
        <v>15</v>
      </c>
      <c r="Y5" s="26" t="s">
        <v>15</v>
      </c>
      <c r="Z5" s="26" t="s">
        <v>15</v>
      </c>
      <c r="AA5" s="26" t="s">
        <v>15</v>
      </c>
      <c r="AB5" s="27" t="s">
        <v>15</v>
      </c>
      <c r="AC5" s="25" t="s">
        <v>15</v>
      </c>
      <c r="AD5" s="20" t="s">
        <v>15</v>
      </c>
      <c r="AE5" s="20" t="s">
        <v>15</v>
      </c>
      <c r="AF5" s="20" t="s">
        <v>15</v>
      </c>
      <c r="AG5" s="25" t="s">
        <v>15</v>
      </c>
      <c r="AH5" s="26" t="s">
        <v>15</v>
      </c>
      <c r="AI5" s="27" t="s">
        <v>15</v>
      </c>
      <c r="AJ5" s="28" t="s">
        <v>15</v>
      </c>
    </row>
    <row r="6" spans="1:36" x14ac:dyDescent="0.35">
      <c r="A6" s="11">
        <v>45323</v>
      </c>
      <c r="B6" s="19" t="s">
        <v>15</v>
      </c>
      <c r="C6" s="20" t="s">
        <v>15</v>
      </c>
      <c r="D6" s="20" t="s">
        <v>15</v>
      </c>
      <c r="E6" s="20" t="s">
        <v>15</v>
      </c>
      <c r="F6" s="20" t="s">
        <v>15</v>
      </c>
      <c r="G6" s="20" t="s">
        <v>15</v>
      </c>
      <c r="H6" s="20" t="s">
        <v>15</v>
      </c>
      <c r="I6" s="20" t="s">
        <v>15</v>
      </c>
      <c r="J6" s="20" t="s">
        <v>15</v>
      </c>
      <c r="K6" s="20" t="s">
        <v>15</v>
      </c>
      <c r="L6" s="20" t="s">
        <v>15</v>
      </c>
      <c r="M6" s="20" t="s">
        <v>15</v>
      </c>
      <c r="N6" s="20" t="s">
        <v>15</v>
      </c>
      <c r="O6" s="20" t="s">
        <v>15</v>
      </c>
      <c r="P6" s="20" t="s">
        <v>15</v>
      </c>
      <c r="Q6" s="20" t="s">
        <v>15</v>
      </c>
      <c r="R6" s="20" t="s">
        <v>15</v>
      </c>
      <c r="S6" s="20" t="s">
        <v>15</v>
      </c>
      <c r="T6" s="20" t="s">
        <v>15</v>
      </c>
      <c r="U6" s="20" t="s">
        <v>15</v>
      </c>
      <c r="V6" s="20" t="s">
        <v>15</v>
      </c>
      <c r="W6" s="20" t="s">
        <v>15</v>
      </c>
      <c r="X6" s="20" t="s">
        <v>15</v>
      </c>
      <c r="Y6" s="20" t="s">
        <v>15</v>
      </c>
      <c r="Z6" s="20" t="s">
        <v>15</v>
      </c>
      <c r="AA6" s="20" t="s">
        <v>15</v>
      </c>
      <c r="AB6" s="21" t="s">
        <v>15</v>
      </c>
      <c r="AC6" s="19" t="s">
        <v>15</v>
      </c>
      <c r="AD6" s="20" t="s">
        <v>15</v>
      </c>
      <c r="AE6" s="20" t="s">
        <v>15</v>
      </c>
      <c r="AF6" s="20" t="s">
        <v>15</v>
      </c>
      <c r="AG6" s="19" t="s">
        <v>15</v>
      </c>
      <c r="AH6" s="20" t="s">
        <v>15</v>
      </c>
      <c r="AI6" s="21" t="s">
        <v>15</v>
      </c>
      <c r="AJ6" s="29" t="s">
        <v>15</v>
      </c>
    </row>
    <row r="7" spans="1:36" x14ac:dyDescent="0.35">
      <c r="A7" s="11">
        <v>45352</v>
      </c>
      <c r="B7" s="19" t="s">
        <v>15</v>
      </c>
      <c r="C7" s="20" t="s">
        <v>15</v>
      </c>
      <c r="D7" s="20" t="s">
        <v>15</v>
      </c>
      <c r="E7" s="20" t="s">
        <v>15</v>
      </c>
      <c r="F7" s="20" t="s">
        <v>15</v>
      </c>
      <c r="G7" s="20" t="s">
        <v>15</v>
      </c>
      <c r="H7" s="20" t="s">
        <v>15</v>
      </c>
      <c r="I7" s="20" t="s">
        <v>15</v>
      </c>
      <c r="J7" s="20" t="s">
        <v>15</v>
      </c>
      <c r="K7" s="20" t="s">
        <v>15</v>
      </c>
      <c r="L7" s="20" t="s">
        <v>15</v>
      </c>
      <c r="M7" s="20" t="s">
        <v>15</v>
      </c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0" t="s">
        <v>15</v>
      </c>
      <c r="T7" s="20" t="s">
        <v>15</v>
      </c>
      <c r="U7" s="20" t="s">
        <v>15</v>
      </c>
      <c r="V7" s="20" t="s">
        <v>15</v>
      </c>
      <c r="W7" s="20" t="s">
        <v>15</v>
      </c>
      <c r="X7" s="20" t="s">
        <v>15</v>
      </c>
      <c r="Y7" s="20" t="s">
        <v>15</v>
      </c>
      <c r="Z7" s="20" t="s">
        <v>15</v>
      </c>
      <c r="AA7" s="20" t="s">
        <v>15</v>
      </c>
      <c r="AB7" s="21" t="s">
        <v>15</v>
      </c>
      <c r="AC7" s="19" t="s">
        <v>15</v>
      </c>
      <c r="AD7" s="20" t="s">
        <v>15</v>
      </c>
      <c r="AE7" s="20" t="s">
        <v>15</v>
      </c>
      <c r="AF7" s="20" t="s">
        <v>15</v>
      </c>
      <c r="AG7" s="19" t="s">
        <v>15</v>
      </c>
      <c r="AH7" s="20" t="s">
        <v>15</v>
      </c>
      <c r="AI7" s="21" t="s">
        <v>15</v>
      </c>
      <c r="AJ7" s="29" t="s">
        <v>15</v>
      </c>
    </row>
    <row r="8" spans="1:36" x14ac:dyDescent="0.35">
      <c r="A8" s="11">
        <v>45383</v>
      </c>
      <c r="B8" s="19" t="s">
        <v>15</v>
      </c>
      <c r="C8" s="20" t="s">
        <v>15</v>
      </c>
      <c r="D8" s="20" t="s">
        <v>15</v>
      </c>
      <c r="E8" s="20" t="s">
        <v>15</v>
      </c>
      <c r="F8" s="20" t="s">
        <v>15</v>
      </c>
      <c r="G8" s="20" t="s">
        <v>15</v>
      </c>
      <c r="H8" s="20" t="s">
        <v>15</v>
      </c>
      <c r="I8" s="20" t="s">
        <v>15</v>
      </c>
      <c r="J8" s="20" t="s">
        <v>15</v>
      </c>
      <c r="K8" s="20" t="s">
        <v>15</v>
      </c>
      <c r="L8" s="20" t="s">
        <v>15</v>
      </c>
      <c r="M8" s="20" t="s">
        <v>15</v>
      </c>
      <c r="N8" s="20" t="s">
        <v>15</v>
      </c>
      <c r="O8" s="20" t="s">
        <v>15</v>
      </c>
      <c r="P8" s="20" t="s">
        <v>15</v>
      </c>
      <c r="Q8" s="20" t="s">
        <v>15</v>
      </c>
      <c r="R8" s="20" t="s">
        <v>15</v>
      </c>
      <c r="S8" s="20" t="s">
        <v>15</v>
      </c>
      <c r="T8" s="20" t="s">
        <v>15</v>
      </c>
      <c r="U8" s="20" t="s">
        <v>15</v>
      </c>
      <c r="V8" s="20" t="s">
        <v>15</v>
      </c>
      <c r="W8" s="20" t="s">
        <v>15</v>
      </c>
      <c r="X8" s="20" t="s">
        <v>15</v>
      </c>
      <c r="Y8" s="20" t="s">
        <v>15</v>
      </c>
      <c r="Z8" s="20" t="s">
        <v>15</v>
      </c>
      <c r="AA8" s="20" t="s">
        <v>15</v>
      </c>
      <c r="AB8" s="21" t="s">
        <v>15</v>
      </c>
      <c r="AC8" s="19" t="s">
        <v>15</v>
      </c>
      <c r="AD8" s="20" t="s">
        <v>15</v>
      </c>
      <c r="AE8" s="20" t="s">
        <v>15</v>
      </c>
      <c r="AF8" s="20" t="s">
        <v>15</v>
      </c>
      <c r="AG8" s="19" t="s">
        <v>15</v>
      </c>
      <c r="AH8" s="20" t="s">
        <v>15</v>
      </c>
      <c r="AI8" s="21" t="s">
        <v>15</v>
      </c>
      <c r="AJ8" s="29" t="s">
        <v>15</v>
      </c>
    </row>
    <row r="9" spans="1:36" x14ac:dyDescent="0.35">
      <c r="A9" s="11">
        <v>45413</v>
      </c>
      <c r="B9" s="19" t="s">
        <v>15</v>
      </c>
      <c r="C9" s="20" t="s">
        <v>15</v>
      </c>
      <c r="D9" s="20" t="s">
        <v>15</v>
      </c>
      <c r="E9" s="20" t="s">
        <v>15</v>
      </c>
      <c r="F9" s="20" t="s">
        <v>15</v>
      </c>
      <c r="G9" s="20" t="s">
        <v>15</v>
      </c>
      <c r="H9" s="20" t="s">
        <v>15</v>
      </c>
      <c r="I9" s="20" t="s">
        <v>15</v>
      </c>
      <c r="J9" s="20" t="s">
        <v>15</v>
      </c>
      <c r="K9" s="20" t="s">
        <v>15</v>
      </c>
      <c r="L9" s="20" t="s">
        <v>15</v>
      </c>
      <c r="M9" s="20" t="s">
        <v>15</v>
      </c>
      <c r="N9" s="20" t="s">
        <v>15</v>
      </c>
      <c r="O9" s="20" t="s">
        <v>15</v>
      </c>
      <c r="P9" s="20" t="s">
        <v>15</v>
      </c>
      <c r="Q9" s="20" t="s">
        <v>15</v>
      </c>
      <c r="R9" s="20" t="s">
        <v>15</v>
      </c>
      <c r="S9" s="20" t="s">
        <v>15</v>
      </c>
      <c r="T9" s="20" t="s">
        <v>15</v>
      </c>
      <c r="U9" s="20" t="s">
        <v>15</v>
      </c>
      <c r="V9" s="20" t="s">
        <v>15</v>
      </c>
      <c r="W9" s="20" t="s">
        <v>15</v>
      </c>
      <c r="X9" s="20" t="s">
        <v>15</v>
      </c>
      <c r="Y9" s="20" t="s">
        <v>15</v>
      </c>
      <c r="Z9" s="20" t="s">
        <v>15</v>
      </c>
      <c r="AA9" s="20" t="s">
        <v>15</v>
      </c>
      <c r="AB9" s="21" t="s">
        <v>15</v>
      </c>
      <c r="AC9" s="19" t="s">
        <v>15</v>
      </c>
      <c r="AD9" s="20" t="s">
        <v>15</v>
      </c>
      <c r="AE9" s="20" t="s">
        <v>15</v>
      </c>
      <c r="AF9" s="20" t="s">
        <v>15</v>
      </c>
      <c r="AG9" s="19" t="s">
        <v>15</v>
      </c>
      <c r="AH9" s="20" t="s">
        <v>15</v>
      </c>
      <c r="AI9" s="21" t="s">
        <v>15</v>
      </c>
      <c r="AJ9" s="29" t="s">
        <v>15</v>
      </c>
    </row>
    <row r="10" spans="1:36" x14ac:dyDescent="0.35">
      <c r="A10" s="11">
        <v>45444</v>
      </c>
      <c r="B10" s="19" t="s">
        <v>15</v>
      </c>
      <c r="C10" s="20" t="s">
        <v>15</v>
      </c>
      <c r="D10" s="20" t="s">
        <v>15</v>
      </c>
      <c r="E10" s="20" t="s">
        <v>15</v>
      </c>
      <c r="F10" s="20" t="s">
        <v>15</v>
      </c>
      <c r="G10" s="20" t="s">
        <v>15</v>
      </c>
      <c r="H10" s="20" t="s">
        <v>15</v>
      </c>
      <c r="I10" s="20" t="s">
        <v>15</v>
      </c>
      <c r="J10" s="20" t="s">
        <v>15</v>
      </c>
      <c r="K10" s="20" t="s">
        <v>15</v>
      </c>
      <c r="L10" s="20" t="s">
        <v>15</v>
      </c>
      <c r="M10" s="20" t="s">
        <v>15</v>
      </c>
      <c r="N10" s="20" t="s">
        <v>15</v>
      </c>
      <c r="O10" s="20" t="s">
        <v>15</v>
      </c>
      <c r="P10" s="20" t="s">
        <v>15</v>
      </c>
      <c r="Q10" s="20" t="s">
        <v>15</v>
      </c>
      <c r="R10" s="20" t="s">
        <v>15</v>
      </c>
      <c r="S10" s="20" t="s">
        <v>15</v>
      </c>
      <c r="T10" s="20" t="s">
        <v>15</v>
      </c>
      <c r="U10" s="20" t="s">
        <v>15</v>
      </c>
      <c r="V10" s="20" t="s">
        <v>15</v>
      </c>
      <c r="W10" s="20" t="s">
        <v>15</v>
      </c>
      <c r="X10" s="20" t="s">
        <v>15</v>
      </c>
      <c r="Y10" s="20" t="s">
        <v>15</v>
      </c>
      <c r="Z10" s="20" t="s">
        <v>15</v>
      </c>
      <c r="AA10" s="20" t="s">
        <v>15</v>
      </c>
      <c r="AB10" s="21" t="s">
        <v>15</v>
      </c>
      <c r="AC10" s="19" t="s">
        <v>15</v>
      </c>
      <c r="AD10" s="20" t="s">
        <v>15</v>
      </c>
      <c r="AE10" s="20" t="s">
        <v>15</v>
      </c>
      <c r="AF10" s="20" t="s">
        <v>15</v>
      </c>
      <c r="AG10" s="19" t="s">
        <v>15</v>
      </c>
      <c r="AH10" s="20" t="s">
        <v>15</v>
      </c>
      <c r="AI10" s="21" t="s">
        <v>15</v>
      </c>
      <c r="AJ10" s="29" t="s">
        <v>15</v>
      </c>
    </row>
    <row r="11" spans="1:36" x14ac:dyDescent="0.35">
      <c r="A11" s="11">
        <v>45474</v>
      </c>
      <c r="B11" s="19" t="s">
        <v>15</v>
      </c>
      <c r="C11" s="20" t="s">
        <v>15</v>
      </c>
      <c r="D11" s="20" t="s">
        <v>15</v>
      </c>
      <c r="E11" s="20" t="s">
        <v>15</v>
      </c>
      <c r="F11" s="20" t="s">
        <v>15</v>
      </c>
      <c r="G11" s="20" t="s">
        <v>15</v>
      </c>
      <c r="H11" s="20" t="s">
        <v>15</v>
      </c>
      <c r="I11" s="20" t="s">
        <v>15</v>
      </c>
      <c r="J11" s="20" t="s">
        <v>15</v>
      </c>
      <c r="K11" s="20" t="s">
        <v>15</v>
      </c>
      <c r="L11" s="20" t="s">
        <v>15</v>
      </c>
      <c r="M11" s="20" t="s">
        <v>15</v>
      </c>
      <c r="N11" s="20" t="s">
        <v>15</v>
      </c>
      <c r="O11" s="20" t="s">
        <v>15</v>
      </c>
      <c r="P11" s="20" t="s">
        <v>15</v>
      </c>
      <c r="Q11" s="20" t="s">
        <v>15</v>
      </c>
      <c r="R11" s="20" t="s">
        <v>15</v>
      </c>
      <c r="S11" s="20" t="s">
        <v>15</v>
      </c>
      <c r="T11" s="20" t="s">
        <v>15</v>
      </c>
      <c r="U11" s="20" t="s">
        <v>15</v>
      </c>
      <c r="V11" s="20" t="s">
        <v>15</v>
      </c>
      <c r="W11" s="20" t="s">
        <v>15</v>
      </c>
      <c r="X11" s="20" t="s">
        <v>15</v>
      </c>
      <c r="Y11" s="20" t="s">
        <v>15</v>
      </c>
      <c r="Z11" s="20" t="s">
        <v>15</v>
      </c>
      <c r="AA11" s="20" t="s">
        <v>15</v>
      </c>
      <c r="AB11" s="21" t="s">
        <v>15</v>
      </c>
      <c r="AC11" s="19" t="s">
        <v>15</v>
      </c>
      <c r="AD11" s="20" t="s">
        <v>15</v>
      </c>
      <c r="AE11" s="20" t="s">
        <v>15</v>
      </c>
      <c r="AF11" s="20" t="s">
        <v>15</v>
      </c>
      <c r="AG11" s="19" t="s">
        <v>15</v>
      </c>
      <c r="AH11" s="20" t="s">
        <v>15</v>
      </c>
      <c r="AI11" s="21" t="s">
        <v>15</v>
      </c>
      <c r="AJ11" s="29" t="s">
        <v>15</v>
      </c>
    </row>
    <row r="12" spans="1:36" x14ac:dyDescent="0.35">
      <c r="A12" s="11">
        <v>45505</v>
      </c>
      <c r="B12" s="19" t="s">
        <v>15</v>
      </c>
      <c r="C12" s="20" t="s">
        <v>15</v>
      </c>
      <c r="D12" s="20" t="s">
        <v>15</v>
      </c>
      <c r="E12" s="20" t="s">
        <v>15</v>
      </c>
      <c r="F12" s="20" t="s">
        <v>15</v>
      </c>
      <c r="G12" s="20" t="s">
        <v>15</v>
      </c>
      <c r="H12" s="20" t="s">
        <v>15</v>
      </c>
      <c r="I12" s="20" t="s">
        <v>15</v>
      </c>
      <c r="J12" s="20" t="s">
        <v>15</v>
      </c>
      <c r="K12" s="20" t="s">
        <v>15</v>
      </c>
      <c r="L12" s="20" t="s">
        <v>15</v>
      </c>
      <c r="M12" s="20" t="s">
        <v>15</v>
      </c>
      <c r="N12" s="20" t="s">
        <v>15</v>
      </c>
      <c r="O12" s="20" t="s">
        <v>15</v>
      </c>
      <c r="P12" s="20" t="s">
        <v>15</v>
      </c>
      <c r="Q12" s="20" t="s">
        <v>15</v>
      </c>
      <c r="R12" s="20" t="s">
        <v>15</v>
      </c>
      <c r="S12" s="20" t="s">
        <v>15</v>
      </c>
      <c r="T12" s="20" t="s">
        <v>15</v>
      </c>
      <c r="U12" s="20" t="s">
        <v>15</v>
      </c>
      <c r="V12" s="20" t="s">
        <v>15</v>
      </c>
      <c r="W12" s="20" t="s">
        <v>15</v>
      </c>
      <c r="X12" s="20" t="s">
        <v>15</v>
      </c>
      <c r="Y12" s="20" t="s">
        <v>15</v>
      </c>
      <c r="Z12" s="20" t="s">
        <v>15</v>
      </c>
      <c r="AA12" s="20" t="s">
        <v>15</v>
      </c>
      <c r="AB12" s="21" t="s">
        <v>15</v>
      </c>
      <c r="AC12" s="19" t="s">
        <v>15</v>
      </c>
      <c r="AD12" s="20" t="s">
        <v>15</v>
      </c>
      <c r="AE12" s="20" t="s">
        <v>15</v>
      </c>
      <c r="AF12" s="20" t="s">
        <v>15</v>
      </c>
      <c r="AG12" s="19" t="s">
        <v>15</v>
      </c>
      <c r="AH12" s="20" t="s">
        <v>15</v>
      </c>
      <c r="AI12" s="21" t="s">
        <v>15</v>
      </c>
      <c r="AJ12" s="29" t="s">
        <v>15</v>
      </c>
    </row>
    <row r="13" spans="1:36" x14ac:dyDescent="0.35">
      <c r="A13" s="11">
        <v>45536</v>
      </c>
      <c r="B13" s="19" t="s">
        <v>15</v>
      </c>
      <c r="C13" s="20" t="s">
        <v>15</v>
      </c>
      <c r="D13" s="20" t="s">
        <v>15</v>
      </c>
      <c r="E13" s="20" t="s">
        <v>15</v>
      </c>
      <c r="F13" s="20" t="s">
        <v>15</v>
      </c>
      <c r="G13" s="20" t="s">
        <v>15</v>
      </c>
      <c r="H13" s="20" t="s">
        <v>15</v>
      </c>
      <c r="I13" s="20" t="s">
        <v>15</v>
      </c>
      <c r="J13" s="20" t="s">
        <v>15</v>
      </c>
      <c r="K13" s="20" t="s">
        <v>15</v>
      </c>
      <c r="L13" s="20" t="s">
        <v>15</v>
      </c>
      <c r="M13" s="20" t="s">
        <v>15</v>
      </c>
      <c r="N13" s="20" t="s">
        <v>15</v>
      </c>
      <c r="O13" s="20" t="s">
        <v>15</v>
      </c>
      <c r="P13" s="20" t="s">
        <v>15</v>
      </c>
      <c r="Q13" s="20" t="s">
        <v>15</v>
      </c>
      <c r="R13" s="20" t="s">
        <v>15</v>
      </c>
      <c r="S13" s="20" t="s">
        <v>15</v>
      </c>
      <c r="T13" s="20" t="s">
        <v>15</v>
      </c>
      <c r="U13" s="20" t="s">
        <v>15</v>
      </c>
      <c r="V13" s="20" t="s">
        <v>15</v>
      </c>
      <c r="W13" s="20" t="s">
        <v>15</v>
      </c>
      <c r="X13" s="20" t="s">
        <v>15</v>
      </c>
      <c r="Y13" s="20" t="s">
        <v>15</v>
      </c>
      <c r="Z13" s="20" t="s">
        <v>15</v>
      </c>
      <c r="AA13" s="20" t="s">
        <v>15</v>
      </c>
      <c r="AB13" s="21" t="s">
        <v>15</v>
      </c>
      <c r="AC13" s="19" t="s">
        <v>15</v>
      </c>
      <c r="AD13" s="20" t="s">
        <v>15</v>
      </c>
      <c r="AE13" s="20" t="s">
        <v>15</v>
      </c>
      <c r="AF13" s="20" t="s">
        <v>15</v>
      </c>
      <c r="AG13" s="19" t="s">
        <v>15</v>
      </c>
      <c r="AH13" s="20" t="s">
        <v>15</v>
      </c>
      <c r="AI13" s="21" t="s">
        <v>15</v>
      </c>
      <c r="AJ13" s="29" t="s">
        <v>15</v>
      </c>
    </row>
    <row r="14" spans="1:36" x14ac:dyDescent="0.35">
      <c r="A14" s="11">
        <v>45566</v>
      </c>
      <c r="B14" s="19" t="s">
        <v>15</v>
      </c>
      <c r="C14" s="20" t="s">
        <v>15</v>
      </c>
      <c r="D14" s="20" t="s">
        <v>15</v>
      </c>
      <c r="E14" s="20" t="s">
        <v>15</v>
      </c>
      <c r="F14" s="20" t="s">
        <v>15</v>
      </c>
      <c r="G14" s="20" t="s">
        <v>15</v>
      </c>
      <c r="H14" s="20" t="s">
        <v>15</v>
      </c>
      <c r="I14" s="20" t="s">
        <v>15</v>
      </c>
      <c r="J14" s="20" t="s">
        <v>15</v>
      </c>
      <c r="K14" s="20" t="s">
        <v>15</v>
      </c>
      <c r="L14" s="20" t="s">
        <v>15</v>
      </c>
      <c r="M14" s="20" t="s">
        <v>15</v>
      </c>
      <c r="N14" s="20" t="s">
        <v>15</v>
      </c>
      <c r="O14" s="20" t="s">
        <v>15</v>
      </c>
      <c r="P14" s="20" t="s">
        <v>15</v>
      </c>
      <c r="Q14" s="20" t="s">
        <v>15</v>
      </c>
      <c r="R14" s="20" t="s">
        <v>15</v>
      </c>
      <c r="S14" s="20" t="s">
        <v>15</v>
      </c>
      <c r="T14" s="20" t="s">
        <v>15</v>
      </c>
      <c r="U14" s="20" t="s">
        <v>15</v>
      </c>
      <c r="V14" s="20" t="s">
        <v>15</v>
      </c>
      <c r="W14" s="20" t="s">
        <v>15</v>
      </c>
      <c r="X14" s="20" t="s">
        <v>15</v>
      </c>
      <c r="Y14" s="20" t="s">
        <v>15</v>
      </c>
      <c r="Z14" s="20" t="s">
        <v>15</v>
      </c>
      <c r="AA14" s="20" t="s">
        <v>15</v>
      </c>
      <c r="AB14" s="21" t="s">
        <v>15</v>
      </c>
      <c r="AC14" s="19" t="s">
        <v>15</v>
      </c>
      <c r="AD14" s="20" t="s">
        <v>15</v>
      </c>
      <c r="AE14" s="20" t="s">
        <v>15</v>
      </c>
      <c r="AF14" s="20" t="s">
        <v>15</v>
      </c>
      <c r="AG14" s="19" t="s">
        <v>15</v>
      </c>
      <c r="AH14" s="20" t="s">
        <v>15</v>
      </c>
      <c r="AI14" s="21" t="s">
        <v>15</v>
      </c>
      <c r="AJ14" s="29" t="s">
        <v>15</v>
      </c>
    </row>
    <row r="15" spans="1:36" x14ac:dyDescent="0.35">
      <c r="A15" s="11">
        <v>45597</v>
      </c>
      <c r="B15" s="19" t="s">
        <v>15</v>
      </c>
      <c r="C15" s="20" t="s">
        <v>15</v>
      </c>
      <c r="D15" s="20" t="s">
        <v>15</v>
      </c>
      <c r="E15" s="20" t="s">
        <v>15</v>
      </c>
      <c r="F15" s="20" t="s">
        <v>15</v>
      </c>
      <c r="G15" s="20" t="s">
        <v>15</v>
      </c>
      <c r="H15" s="20" t="s">
        <v>15</v>
      </c>
      <c r="I15" s="20" t="s">
        <v>15</v>
      </c>
      <c r="J15" s="20" t="s">
        <v>15</v>
      </c>
      <c r="K15" s="20" t="s">
        <v>15</v>
      </c>
      <c r="L15" s="20" t="s">
        <v>15</v>
      </c>
      <c r="M15" s="20" t="s">
        <v>15</v>
      </c>
      <c r="N15" s="20" t="s">
        <v>15</v>
      </c>
      <c r="O15" s="20" t="s">
        <v>15</v>
      </c>
      <c r="P15" s="20" t="s">
        <v>15</v>
      </c>
      <c r="Q15" s="20" t="s">
        <v>15</v>
      </c>
      <c r="R15" s="20" t="s">
        <v>15</v>
      </c>
      <c r="S15" s="20" t="s">
        <v>15</v>
      </c>
      <c r="T15" s="20" t="s">
        <v>15</v>
      </c>
      <c r="U15" s="20" t="s">
        <v>15</v>
      </c>
      <c r="V15" s="20" t="s">
        <v>15</v>
      </c>
      <c r="W15" s="20" t="s">
        <v>15</v>
      </c>
      <c r="X15" s="20" t="s">
        <v>15</v>
      </c>
      <c r="Y15" s="20" t="s">
        <v>15</v>
      </c>
      <c r="Z15" s="20" t="s">
        <v>15</v>
      </c>
      <c r="AA15" s="20" t="s">
        <v>15</v>
      </c>
      <c r="AB15" s="21" t="s">
        <v>15</v>
      </c>
      <c r="AC15" s="19" t="s">
        <v>15</v>
      </c>
      <c r="AD15" s="20" t="s">
        <v>15</v>
      </c>
      <c r="AE15" s="20" t="s">
        <v>15</v>
      </c>
      <c r="AF15" s="20" t="s">
        <v>15</v>
      </c>
      <c r="AG15" s="19" t="s">
        <v>15</v>
      </c>
      <c r="AH15" s="20" t="s">
        <v>15</v>
      </c>
      <c r="AI15" s="21" t="s">
        <v>15</v>
      </c>
      <c r="AJ15" s="29" t="s">
        <v>15</v>
      </c>
    </row>
    <row r="16" spans="1:36" ht="15" thickBot="1" x14ac:dyDescent="0.4">
      <c r="A16" s="15">
        <v>45627</v>
      </c>
      <c r="B16" s="19" t="s">
        <v>15</v>
      </c>
      <c r="C16" s="20" t="s">
        <v>15</v>
      </c>
      <c r="D16" s="20" t="s">
        <v>15</v>
      </c>
      <c r="E16" s="20" t="s">
        <v>15</v>
      </c>
      <c r="F16" s="20" t="s">
        <v>15</v>
      </c>
      <c r="G16" s="20" t="s">
        <v>15</v>
      </c>
      <c r="H16" s="20" t="s">
        <v>15</v>
      </c>
      <c r="I16" s="20" t="s">
        <v>15</v>
      </c>
      <c r="J16" s="20" t="s">
        <v>15</v>
      </c>
      <c r="K16" s="20" t="s">
        <v>15</v>
      </c>
      <c r="L16" s="20" t="s">
        <v>15</v>
      </c>
      <c r="M16" s="20" t="s">
        <v>15</v>
      </c>
      <c r="N16" s="20" t="s">
        <v>15</v>
      </c>
      <c r="O16" s="20" t="s">
        <v>15</v>
      </c>
      <c r="P16" s="20" t="s">
        <v>15</v>
      </c>
      <c r="Q16" s="20" t="s">
        <v>15</v>
      </c>
      <c r="R16" s="20" t="s">
        <v>15</v>
      </c>
      <c r="S16" s="20" t="s">
        <v>15</v>
      </c>
      <c r="T16" s="20" t="s">
        <v>15</v>
      </c>
      <c r="U16" s="20" t="s">
        <v>15</v>
      </c>
      <c r="V16" s="20" t="s">
        <v>15</v>
      </c>
      <c r="W16" s="20" t="s">
        <v>15</v>
      </c>
      <c r="X16" s="20" t="s">
        <v>15</v>
      </c>
      <c r="Y16" s="20" t="s">
        <v>15</v>
      </c>
      <c r="Z16" s="20" t="s">
        <v>15</v>
      </c>
      <c r="AA16" s="20" t="s">
        <v>15</v>
      </c>
      <c r="AB16" s="21" t="s">
        <v>15</v>
      </c>
      <c r="AC16" s="22" t="s">
        <v>15</v>
      </c>
      <c r="AD16" s="23" t="s">
        <v>15</v>
      </c>
      <c r="AE16" s="23" t="s">
        <v>15</v>
      </c>
      <c r="AF16" s="23" t="s">
        <v>15</v>
      </c>
      <c r="AG16" s="19" t="s">
        <v>15</v>
      </c>
      <c r="AH16" s="20" t="s">
        <v>15</v>
      </c>
      <c r="AI16" s="21" t="s">
        <v>15</v>
      </c>
      <c r="AJ16" s="29" t="s">
        <v>15</v>
      </c>
    </row>
    <row r="17" spans="1:36" x14ac:dyDescent="0.35">
      <c r="A17" s="7">
        <v>45659</v>
      </c>
      <c r="B17" s="25">
        <f>SUM(Empresas!B$17:B17)/SUM(Empresas!B$5:B5)-1</f>
        <v>0.11036368186372791</v>
      </c>
      <c r="C17" s="26">
        <f>SUM(Empresas!C$17:C17)/SUM(Empresas!C$5:C5)-1</f>
        <v>5.3557301645404953E-2</v>
      </c>
      <c r="D17" s="26">
        <f>SUM(Empresas!D$17:D17)/SUM(Empresas!D$5:D5)-1</f>
        <v>0.11913713791780056</v>
      </c>
      <c r="E17" s="26">
        <f>SUM(Empresas!E$17:E17)/SUM(Empresas!E$5:E5)-1</f>
        <v>0.16761573198488322</v>
      </c>
      <c r="F17" s="26">
        <f>SUM(Empresas!F$17:F17)/SUM(Empresas!F$5:F5)-1</f>
        <v>6.5517673529405407E-2</v>
      </c>
      <c r="G17" s="26">
        <f>SUM(Empresas!G$17:G17)/SUM(Empresas!G$5:G5)-1</f>
        <v>0.15174518402636172</v>
      </c>
      <c r="H17" s="26">
        <f>SUM(Empresas!H$17:H17)/SUM(Empresas!H$5:H5)-1</f>
        <v>8.8473142367986979E-2</v>
      </c>
      <c r="I17" s="26">
        <f>SUM(Empresas!I$17:I17)/SUM(Empresas!I$5:I5)-1</f>
        <v>8.7395018470035835E-2</v>
      </c>
      <c r="J17" s="26">
        <f>SUM(Empresas!J$17:J17)/SUM(Empresas!J$5:J5)-1</f>
        <v>0.11631697349553294</v>
      </c>
      <c r="K17" s="26">
        <f>SUM(Empresas!K$17:K17)/SUM(Empresas!K$5:K5)-1</f>
        <v>0.11103287179458921</v>
      </c>
      <c r="L17" s="26">
        <f>SUM(Empresas!L$17:L17)/SUM(Empresas!L$5:L5)-1</f>
        <v>9.9370795028593362E-2</v>
      </c>
      <c r="M17" s="26">
        <f>SUM(Empresas!M$17:M17)/SUM(Empresas!M$5:M5)-1</f>
        <v>0.19486449686607177</v>
      </c>
      <c r="N17" s="26">
        <f>SUM(Empresas!N$17:N17)/SUM(Empresas!N$5:N5)-1</f>
        <v>0.2220001133873355</v>
      </c>
      <c r="O17" s="26">
        <f>SUM(Empresas!O$17:O17)/SUM(Empresas!O$5:O5)-1</f>
        <v>0.14973587023679968</v>
      </c>
      <c r="P17" s="26">
        <f>SUM(Empresas!P$17:P17)/SUM(Empresas!P$5:P5)-1</f>
        <v>0.10568675633352775</v>
      </c>
      <c r="Q17" s="26">
        <f>SUM(Empresas!Q$17:Q17)/SUM(Empresas!Q$5:Q5)-1</f>
        <v>7.2821354341825462E-2</v>
      </c>
      <c r="R17" s="26">
        <f>SUM(Empresas!R$17:R17)/SUM(Empresas!R$5:R5)-1</f>
        <v>0.10148408282194166</v>
      </c>
      <c r="S17" s="26">
        <f>SUM(Empresas!S$17:S17)/SUM(Empresas!S$5:S5)-1</f>
        <v>0.14621769818808872</v>
      </c>
      <c r="T17" s="26">
        <f>SUM(Empresas!T$17:T17)/SUM(Empresas!T$5:T5)-1</f>
        <v>7.4989889303407331E-3</v>
      </c>
      <c r="U17" s="26">
        <f>SUM(Empresas!U$17:U17)/SUM(Empresas!U$5:U5)-1</f>
        <v>0.17906380400726518</v>
      </c>
      <c r="V17" s="26">
        <f>SUM(Empresas!V$17:V17)/SUM(Empresas!V$5:V5)-1</f>
        <v>8.84176723623189E-2</v>
      </c>
      <c r="W17" s="26">
        <f>SUM(Empresas!W$17:W17)/SUM(Empresas!W$5:W5)-1</f>
        <v>4.1251140884290827E-2</v>
      </c>
      <c r="X17" s="26">
        <f>SUM(Empresas!X$17:X17)/SUM(Empresas!X$5:X5)-1</f>
        <v>0.13145963786696679</v>
      </c>
      <c r="Y17" s="26">
        <f>SUM(Empresas!Y$17:Y17)/SUM(Empresas!Y$5:Y5)-1</f>
        <v>0.16137420505331734</v>
      </c>
      <c r="Z17" s="26">
        <f>SUM(Empresas!Z$17:Z17)/SUM(Empresas!Z$5:Z5)-1</f>
        <v>0.15028278310536858</v>
      </c>
      <c r="AA17" s="26">
        <f>SUM(Empresas!AA$17:AA17)/SUM(Empresas!AA$5:AA5)-1</f>
        <v>0.11159304266046477</v>
      </c>
      <c r="AB17" s="26">
        <f>SUM(Empresas!AB$17:AB17)/SUM(Empresas!AB$5:AB5)-1</f>
        <v>0.1290414697219</v>
      </c>
      <c r="AC17" s="25">
        <f>SUM(Empresas!AC$17:AC17)/SUM(Empresas!AC$5:AC5)-1</f>
        <v>0.14098537891268825</v>
      </c>
      <c r="AD17" s="20">
        <f>SUM(Empresas!AD$17:AD17)/SUM(Empresas!AD$5:AD5)-1</f>
        <v>0.10818180740365468</v>
      </c>
      <c r="AE17" s="20">
        <f>SUM(Empresas!AE$17:AE17)/SUM(Empresas!AE$5:AE5)-1</f>
        <v>6.6536512819154847E-2</v>
      </c>
      <c r="AF17" s="20">
        <f>SUM(Empresas!AF$17:AF17)/SUM(Empresas!AF$5:AF5)-1</f>
        <v>0.16967574764817761</v>
      </c>
      <c r="AG17" s="25">
        <f>SUM(Empresas!AG$17:AG17)/SUM(Empresas!AG$5:AG5)-1</f>
        <v>0.11705725739203254</v>
      </c>
      <c r="AH17" s="26">
        <f>SUM(Empresas!AH$17:AH17)/SUM(Empresas!AH$5:AH5)-1</f>
        <v>-8.7619062889997545E-3</v>
      </c>
      <c r="AI17" s="27">
        <f>SUM(Empresas!AI$17:AI17)/SUM(Empresas!AI$5:AI5)-1</f>
        <v>-1.85502712115726E-2</v>
      </c>
      <c r="AJ17" s="28">
        <f>SUM(Empresas!AJ$17:AJ17)/SUM(Empresas!AJ$5:AJ5)-1</f>
        <v>0.11292642730795999</v>
      </c>
    </row>
    <row r="18" spans="1:36" x14ac:dyDescent="0.35">
      <c r="A18" s="11">
        <v>45689</v>
      </c>
      <c r="B18" s="19">
        <f>SUM(Empresas!B$17:B18)/SUM(Empresas!B$5:B6)-1</f>
        <v>7.8352155762543063E-2</v>
      </c>
      <c r="C18" s="20">
        <f>SUM(Empresas!C$17:C18)/SUM(Empresas!C$5:C6)-1</f>
        <v>4.0249823359146619E-2</v>
      </c>
      <c r="D18" s="20">
        <f>SUM(Empresas!D$17:D18)/SUM(Empresas!D$5:D6)-1</f>
        <v>0.12400713944086883</v>
      </c>
      <c r="E18" s="20">
        <f>SUM(Empresas!E$17:E18)/SUM(Empresas!E$5:E6)-1</f>
        <v>2.6974130625119219E-2</v>
      </c>
      <c r="F18" s="20">
        <f>SUM(Empresas!F$17:F18)/SUM(Empresas!F$5:F6)-1</f>
        <v>9.0180797612454011E-2</v>
      </c>
      <c r="G18" s="20">
        <f>SUM(Empresas!G$17:G18)/SUM(Empresas!G$5:G6)-1</f>
        <v>0.1632407942134193</v>
      </c>
      <c r="H18" s="20">
        <f>SUM(Empresas!H$17:H18)/SUM(Empresas!H$5:H6)-1</f>
        <v>0.10954734986942016</v>
      </c>
      <c r="I18" s="20">
        <f>SUM(Empresas!I$17:I18)/SUM(Empresas!I$5:I6)-1</f>
        <v>4.4909302612824442E-2</v>
      </c>
      <c r="J18" s="20">
        <f>SUM(Empresas!J$17:J18)/SUM(Empresas!J$5:J6)-1</f>
        <v>0.11895311033708911</v>
      </c>
      <c r="K18" s="20">
        <f>SUM(Empresas!K$17:K18)/SUM(Empresas!K$5:K6)-1</f>
        <v>0.13974857099057636</v>
      </c>
      <c r="L18" s="20">
        <f>SUM(Empresas!L$17:L18)/SUM(Empresas!L$5:L6)-1</f>
        <v>0.10990571154282236</v>
      </c>
      <c r="M18" s="20">
        <f>SUM(Empresas!M$17:M18)/SUM(Empresas!M$5:M6)-1</f>
        <v>0.19107644001988744</v>
      </c>
      <c r="N18" s="20">
        <f>SUM(Empresas!N$17:N18)/SUM(Empresas!N$5:N6)-1</f>
        <v>0.16746781056635585</v>
      </c>
      <c r="O18" s="20">
        <f>SUM(Empresas!O$17:O18)/SUM(Empresas!O$5:O6)-1</f>
        <v>0.15843082301189981</v>
      </c>
      <c r="P18" s="20">
        <f>SUM(Empresas!P$17:P18)/SUM(Empresas!P$5:P6)-1</f>
        <v>0.11268728137871231</v>
      </c>
      <c r="Q18" s="20">
        <f>SUM(Empresas!Q$17:Q18)/SUM(Empresas!Q$5:Q6)-1</f>
        <v>7.5697450285186818E-2</v>
      </c>
      <c r="R18" s="20">
        <f>SUM(Empresas!R$17:R18)/SUM(Empresas!R$5:R6)-1</f>
        <v>0.10954920479655716</v>
      </c>
      <c r="S18" s="20">
        <f>SUM(Empresas!S$17:S18)/SUM(Empresas!S$5:S6)-1</f>
        <v>0.13385632062464414</v>
      </c>
      <c r="T18" s="20">
        <f>SUM(Empresas!T$17:T18)/SUM(Empresas!T$5:T6)-1</f>
        <v>5.1503090159258802E-2</v>
      </c>
      <c r="U18" s="20">
        <f>SUM(Empresas!U$17:U18)/SUM(Empresas!U$5:U6)-1</f>
        <v>0.17924705366788185</v>
      </c>
      <c r="V18" s="20">
        <f>SUM(Empresas!V$17:V18)/SUM(Empresas!V$5:V6)-1</f>
        <v>-1.7771057931116441E-2</v>
      </c>
      <c r="W18" s="20">
        <f>SUM(Empresas!W$17:W18)/SUM(Empresas!W$5:W6)-1</f>
        <v>0.10343408999780013</v>
      </c>
      <c r="X18" s="20">
        <f>SUM(Empresas!X$17:X18)/SUM(Empresas!X$5:X6)-1</f>
        <v>7.9185887803026267E-2</v>
      </c>
      <c r="Y18" s="20">
        <f>SUM(Empresas!Y$17:Y18)/SUM(Empresas!Y$5:Y6)-1</f>
        <v>0.24111624947674359</v>
      </c>
      <c r="Z18" s="20">
        <f>SUM(Empresas!Z$17:Z18)/SUM(Empresas!Z$5:Z6)-1</f>
        <v>0.16055021152562343</v>
      </c>
      <c r="AA18" s="20">
        <f>SUM(Empresas!AA$17:AA18)/SUM(Empresas!AA$5:AA6)-1</f>
        <v>0.12969879702827747</v>
      </c>
      <c r="AB18" s="21">
        <f>SUM(Empresas!AB$17:AB18)/SUM(Empresas!AB$5:AB6)-1</f>
        <v>0.12304444354189603</v>
      </c>
      <c r="AC18" s="19">
        <f>SUM(Empresas!AC$17:AC18)/SUM(Empresas!AC$5:AC6)-1</f>
        <v>0.13700374242833635</v>
      </c>
      <c r="AD18" s="20">
        <f>SUM(Empresas!AD$17:AD18)/SUM(Empresas!AD$5:AD6)-1</f>
        <v>0.12956285031239001</v>
      </c>
      <c r="AE18" s="20">
        <f>SUM(Empresas!AE$17:AE18)/SUM(Empresas!AE$5:AE6)-1</f>
        <v>7.0867518290585574E-2</v>
      </c>
      <c r="AF18" s="20">
        <f>SUM(Empresas!AF$17:AF18)/SUM(Empresas!AF$5:AF6)-1</f>
        <v>0.18038370824392924</v>
      </c>
      <c r="AG18" s="19">
        <f>SUM(Empresas!AG$17:AG18)/SUM(Empresas!AG$5:AG6)-1</f>
        <v>0.12611516586065341</v>
      </c>
      <c r="AH18" s="20">
        <f>SUM(Empresas!AH$17:AH18)/SUM(Empresas!AH$5:AH6)-1</f>
        <v>3.3514907991345488E-3</v>
      </c>
      <c r="AI18" s="21">
        <f>SUM(Empresas!AI$17:AI18)/SUM(Empresas!AI$5:AI6)-1</f>
        <v>-6.2731203126005219E-3</v>
      </c>
      <c r="AJ18" s="29">
        <f>SUM(Empresas!AJ$17:AJ18)/SUM(Empresas!AJ$5:AJ6)-1</f>
        <v>0.12204813657219593</v>
      </c>
    </row>
    <row r="19" spans="1:36" x14ac:dyDescent="0.35">
      <c r="A19" s="11">
        <v>45717</v>
      </c>
      <c r="B19" s="19">
        <f>SUM(Empresas!B$17:B19)/SUM(Empresas!B$5:B7)-1</f>
        <v>3.6527028077138368E-2</v>
      </c>
      <c r="C19" s="20">
        <f>SUM(Empresas!C$17:C19)/SUM(Empresas!C$5:C7)-1</f>
        <v>1.383374348778954E-2</v>
      </c>
      <c r="D19" s="20">
        <f>SUM(Empresas!D$17:D19)/SUM(Empresas!D$5:D7)-1</f>
        <v>4.4192466692020815E-2</v>
      </c>
      <c r="E19" s="20">
        <f>SUM(Empresas!E$17:E19)/SUM(Empresas!E$5:E7)-1</f>
        <v>1.7625619120348102E-2</v>
      </c>
      <c r="F19" s="20">
        <f>SUM(Empresas!F$17:F19)/SUM(Empresas!F$5:F7)-1</f>
        <v>5.9963203429658218E-2</v>
      </c>
      <c r="G19" s="20">
        <f>SUM(Empresas!G$17:G19)/SUM(Empresas!G$5:G7)-1</f>
        <v>0.11089439372076959</v>
      </c>
      <c r="H19" s="20">
        <f>SUM(Empresas!H$17:H19)/SUM(Empresas!H$5:H7)-1</f>
        <v>7.0121543453693258E-2</v>
      </c>
      <c r="I19" s="20">
        <f>SUM(Empresas!I$17:I19)/SUM(Empresas!I$5:I7)-1</f>
        <v>-8.677376950697735E-2</v>
      </c>
      <c r="J19" s="20">
        <f>SUM(Empresas!J$17:J19)/SUM(Empresas!J$5:J7)-1</f>
        <v>8.7536020090495548E-2</v>
      </c>
      <c r="K19" s="20">
        <f>SUM(Empresas!K$17:K19)/SUM(Empresas!K$5:K7)-1</f>
        <v>7.3356422150169243E-2</v>
      </c>
      <c r="L19" s="20">
        <f>SUM(Empresas!L$17:L19)/SUM(Empresas!L$5:L7)-1</f>
        <v>8.0650703677394242E-2</v>
      </c>
      <c r="M19" s="20">
        <f>SUM(Empresas!M$17:M19)/SUM(Empresas!M$5:M7)-1</f>
        <v>0.17330690207663602</v>
      </c>
      <c r="N19" s="20">
        <f>SUM(Empresas!N$17:N19)/SUM(Empresas!N$5:N7)-1</f>
        <v>0.15270953624739936</v>
      </c>
      <c r="O19" s="20">
        <f>SUM(Empresas!O$17:O19)/SUM(Empresas!O$5:O7)-1</f>
        <v>0.11404118584969924</v>
      </c>
      <c r="P19" s="20">
        <f>SUM(Empresas!P$17:P19)/SUM(Empresas!P$5:P7)-1</f>
        <v>8.1102791487004389E-2</v>
      </c>
      <c r="Q19" s="20">
        <f>SUM(Empresas!Q$17:Q19)/SUM(Empresas!Q$5:Q7)-1</f>
        <v>3.5719615045696207E-2</v>
      </c>
      <c r="R19" s="20">
        <f>SUM(Empresas!R$17:R19)/SUM(Empresas!R$5:R7)-1</f>
        <v>7.0369777837004932E-2</v>
      </c>
      <c r="S19" s="20">
        <f>SUM(Empresas!S$17:S19)/SUM(Empresas!S$5:S7)-1</f>
        <v>0.13286849883577889</v>
      </c>
      <c r="T19" s="20">
        <f>SUM(Empresas!T$17:T19)/SUM(Empresas!T$5:T7)-1</f>
        <v>-3.3937236360414125E-2</v>
      </c>
      <c r="U19" s="20">
        <f>SUM(Empresas!U$17:U19)/SUM(Empresas!U$5:U7)-1</f>
        <v>0.18881840972275743</v>
      </c>
      <c r="V19" s="20">
        <f>SUM(Empresas!V$17:V19)/SUM(Empresas!V$5:V7)-1</f>
        <v>9.262085828578126E-3</v>
      </c>
      <c r="W19" s="20">
        <f>SUM(Empresas!W$17:W19)/SUM(Empresas!W$5:W7)-1</f>
        <v>9.1433708118181523E-2</v>
      </c>
      <c r="X19" s="20">
        <f>SUM(Empresas!X$17:X19)/SUM(Empresas!X$5:X7)-1</f>
        <v>8.1431694124248999E-2</v>
      </c>
      <c r="Y19" s="20">
        <f>SUM(Empresas!Y$17:Y19)/SUM(Empresas!Y$5:Y7)-1</f>
        <v>0.27808334760949083</v>
      </c>
      <c r="Z19" s="20">
        <f>SUM(Empresas!Z$17:Z19)/SUM(Empresas!Z$5:Z7)-1</f>
        <v>0.11825954917478576</v>
      </c>
      <c r="AA19" s="20">
        <f>SUM(Empresas!AA$17:AA19)/SUM(Empresas!AA$5:AA7)-1</f>
        <v>5.7146446141785434E-2</v>
      </c>
      <c r="AB19" s="21">
        <f>SUM(Empresas!AB$17:AB19)/SUM(Empresas!AB$5:AB7)-1</f>
        <v>9.2513237214579824E-2</v>
      </c>
      <c r="AC19" s="19">
        <f>SUM(Empresas!AC$17:AC19)/SUM(Empresas!AC$5:AC7)-1</f>
        <v>0.1075618859524341</v>
      </c>
      <c r="AD19" s="20">
        <f>SUM(Empresas!AD$17:AD19)/SUM(Empresas!AD$5:AD7)-1</f>
        <v>9.6759902496101224E-2</v>
      </c>
      <c r="AE19" s="20">
        <f>SUM(Empresas!AE$17:AE19)/SUM(Empresas!AE$5:AE7)-1</f>
        <v>3.9563044300019889E-2</v>
      </c>
      <c r="AF19" s="20">
        <f>SUM(Empresas!AF$17:AF19)/SUM(Empresas!AF$5:AF7)-1</f>
        <v>0.12454353102481552</v>
      </c>
      <c r="AG19" s="19">
        <f>SUM(Empresas!AG$17:AG19)/SUM(Empresas!AG$5:AG7)-1</f>
        <v>8.5114735514961515E-2</v>
      </c>
      <c r="AH19" s="20">
        <f>SUM(Empresas!AH$17:AH19)/SUM(Empresas!AH$5:AH7)-1</f>
        <v>-1.5566204697587405E-2</v>
      </c>
      <c r="AI19" s="21">
        <f>SUM(Empresas!AI$17:AI19)/SUM(Empresas!AI$5:AI7)-1</f>
        <v>-2.0618055322655815E-2</v>
      </c>
      <c r="AJ19" s="29">
        <f>SUM(Empresas!AJ$17:AJ19)/SUM(Empresas!AJ$5:AJ7)-1</f>
        <v>8.1784804247616583E-2</v>
      </c>
    </row>
    <row r="20" spans="1:36" x14ac:dyDescent="0.35">
      <c r="A20" s="11">
        <v>45748</v>
      </c>
      <c r="B20" s="19">
        <f>SUM(Empresas!B$17:B20)/SUM(Empresas!B$5:B8)-1</f>
        <v>3.4883829028852009E-2</v>
      </c>
      <c r="C20" s="20">
        <f>SUM(Empresas!C$17:C20)/SUM(Empresas!C$5:C8)-1</f>
        <v>9.02144650782577E-3</v>
      </c>
      <c r="D20" s="20">
        <f>SUM(Empresas!D$17:D20)/SUM(Empresas!D$5:D8)-1</f>
        <v>4.5175675064560883E-2</v>
      </c>
      <c r="E20" s="20">
        <f>SUM(Empresas!E$17:E20)/SUM(Empresas!E$5:E8)-1</f>
        <v>3.0728394940373827E-2</v>
      </c>
      <c r="F20" s="20">
        <f>SUM(Empresas!F$17:F20)/SUM(Empresas!F$5:F8)-1</f>
        <v>4.6943783533947681E-2</v>
      </c>
      <c r="G20" s="20">
        <f>SUM(Empresas!G$17:G20)/SUM(Empresas!G$5:G8)-1</f>
        <v>6.5106984461903439E-2</v>
      </c>
      <c r="H20" s="20">
        <f>SUM(Empresas!H$17:H20)/SUM(Empresas!H$5:H8)-1</f>
        <v>8.715420715184452E-2</v>
      </c>
      <c r="I20" s="20">
        <f>SUM(Empresas!I$17:I20)/SUM(Empresas!I$5:I8)-1</f>
        <v>-5.5906256237064356E-2</v>
      </c>
      <c r="J20" s="20">
        <f>SUM(Empresas!J$17:J20)/SUM(Empresas!J$5:J8)-1</f>
        <v>6.9051259825553712E-2</v>
      </c>
      <c r="K20" s="20">
        <f>SUM(Empresas!K$17:K20)/SUM(Empresas!K$5:K8)-1</f>
        <v>5.9046458514427469E-2</v>
      </c>
      <c r="L20" s="20">
        <f>SUM(Empresas!L$17:L20)/SUM(Empresas!L$5:L8)-1</f>
        <v>6.689143979886536E-2</v>
      </c>
      <c r="M20" s="20">
        <f>SUM(Empresas!M$17:M20)/SUM(Empresas!M$5:M8)-1</f>
        <v>0.17092033234654225</v>
      </c>
      <c r="N20" s="20">
        <f>SUM(Empresas!N$17:N20)/SUM(Empresas!N$5:N8)-1</f>
        <v>0.13706479218594469</v>
      </c>
      <c r="O20" s="20">
        <f>SUM(Empresas!O$17:O20)/SUM(Empresas!O$5:O8)-1</f>
        <v>0.10192850617237315</v>
      </c>
      <c r="P20" s="20">
        <f>SUM(Empresas!P$17:P20)/SUM(Empresas!P$5:P8)-1</f>
        <v>6.598061354613205E-2</v>
      </c>
      <c r="Q20" s="20">
        <f>SUM(Empresas!Q$17:Q20)/SUM(Empresas!Q$5:Q8)-1</f>
        <v>1.2622407911436317E-2</v>
      </c>
      <c r="R20" s="20">
        <f>SUM(Empresas!R$17:R20)/SUM(Empresas!R$5:R8)-1</f>
        <v>5.2127312600625197E-2</v>
      </c>
      <c r="S20" s="20">
        <f>SUM(Empresas!S$17:S20)/SUM(Empresas!S$5:S8)-1</f>
        <v>0.11378440591397432</v>
      </c>
      <c r="T20" s="20">
        <f>SUM(Empresas!T$17:T20)/SUM(Empresas!T$5:T8)-1</f>
        <v>1.3510654079678996E-2</v>
      </c>
      <c r="U20" s="20">
        <f>SUM(Empresas!U$17:U20)/SUM(Empresas!U$5:U8)-1</f>
        <v>0.14310874204831325</v>
      </c>
      <c r="V20" s="20">
        <f>SUM(Empresas!V$17:V20)/SUM(Empresas!V$5:V8)-1</f>
        <v>4.7012400256034592E-3</v>
      </c>
      <c r="W20" s="20">
        <f>SUM(Empresas!W$17:W20)/SUM(Empresas!W$5:W8)-1</f>
        <v>8.6962750281143197E-2</v>
      </c>
      <c r="X20" s="20">
        <f>SUM(Empresas!X$17:X20)/SUM(Empresas!X$5:X8)-1</f>
        <v>4.8162636666552183E-2</v>
      </c>
      <c r="Y20" s="20">
        <f>SUM(Empresas!Y$17:Y20)/SUM(Empresas!Y$5:Y8)-1</f>
        <v>0.22577090478357253</v>
      </c>
      <c r="Z20" s="20">
        <f>SUM(Empresas!Z$17:Z20)/SUM(Empresas!Z$5:Z8)-1</f>
        <v>9.5702819852311105E-2</v>
      </c>
      <c r="AA20" s="20">
        <f>SUM(Empresas!AA$17:AA20)/SUM(Empresas!AA$5:AA8)-1</f>
        <v>2.3134497749082161E-2</v>
      </c>
      <c r="AB20" s="21">
        <f>SUM(Empresas!AB$17:AB20)/SUM(Empresas!AB$5:AB8)-1</f>
        <v>8.939392760404119E-2</v>
      </c>
      <c r="AC20" s="19">
        <f>SUM(Empresas!AC$17:AC20)/SUM(Empresas!AC$5:AC8)-1</f>
        <v>3.7693091454203076E-2</v>
      </c>
      <c r="AD20" s="20">
        <f>SUM(Empresas!AD$17:AD20)/SUM(Empresas!AD$5:AD8)-1</f>
        <v>7.4150531103099437E-2</v>
      </c>
      <c r="AE20" s="20">
        <f>SUM(Empresas!AE$17:AE20)/SUM(Empresas!AE$5:AE8)-1</f>
        <v>2.4940572758962887E-2</v>
      </c>
      <c r="AF20" s="20">
        <f>SUM(Empresas!AF$17:AF20)/SUM(Empresas!AF$5:AF8)-1</f>
        <v>0.10316113719942699</v>
      </c>
      <c r="AG20" s="19">
        <f>SUM(Empresas!AG$17:AG20)/SUM(Empresas!AG$5:AG8)-1</f>
        <v>6.5069802409805311E-2</v>
      </c>
      <c r="AH20" s="20">
        <f>SUM(Empresas!AH$17:AH20)/SUM(Empresas!AH$5:AH8)-1</f>
        <v>-6.4257679749973873E-3</v>
      </c>
      <c r="AI20" s="21">
        <f>SUM(Empresas!AI$17:AI20)/SUM(Empresas!AI$5:AI8)-1</f>
        <v>-1.4967482529878229E-2</v>
      </c>
      <c r="AJ20" s="29">
        <f>SUM(Empresas!AJ$17:AJ20)/SUM(Empresas!AJ$5:AJ8)-1</f>
        <v>6.2699175532315632E-2</v>
      </c>
    </row>
    <row r="21" spans="1:36" x14ac:dyDescent="0.35">
      <c r="A21" s="11">
        <v>45778</v>
      </c>
      <c r="B21" s="19">
        <f>SUM(Empresas!B$17:B21)/SUM(Empresas!B$5:B9)-1</f>
        <v>4.7476382126101946E-2</v>
      </c>
      <c r="C21" s="20">
        <f>SUM(Empresas!C$17:C21)/SUM(Empresas!C$5:C9)-1</f>
        <v>4.2302023313559145E-2</v>
      </c>
      <c r="D21" s="20">
        <f>SUM(Empresas!D$17:D21)/SUM(Empresas!D$5:D9)-1</f>
        <v>7.3527982943288439E-2</v>
      </c>
      <c r="E21" s="20">
        <f>SUM(Empresas!E$17:E21)/SUM(Empresas!E$5:E9)-1</f>
        <v>2.5166617057307494E-2</v>
      </c>
      <c r="F21" s="20">
        <f>SUM(Empresas!F$17:F21)/SUM(Empresas!F$5:F9)-1</f>
        <v>7.1750311050327475E-2</v>
      </c>
      <c r="G21" s="20">
        <f>SUM(Empresas!G$17:G21)/SUM(Empresas!G$5:G9)-1</f>
        <v>7.5232239916136034E-2</v>
      </c>
      <c r="H21" s="20">
        <f>SUM(Empresas!H$17:H21)/SUM(Empresas!H$5:H9)-1</f>
        <v>0.10668836628305045</v>
      </c>
      <c r="I21" s="20">
        <f>SUM(Empresas!I$17:I21)/SUM(Empresas!I$5:I9)-1</f>
        <v>-1.9182546677753987E-4</v>
      </c>
      <c r="J21" s="20">
        <f>SUM(Empresas!J$17:J21)/SUM(Empresas!J$5:J9)-1</f>
        <v>9.5902598856326904E-2</v>
      </c>
      <c r="K21" s="20">
        <f>SUM(Empresas!K$17:K21)/SUM(Empresas!K$5:K9)-1</f>
        <v>7.6142136710729558E-2</v>
      </c>
      <c r="L21" s="20">
        <f>SUM(Empresas!L$17:L21)/SUM(Empresas!L$5:L9)-1</f>
        <v>8.8499717057407778E-2</v>
      </c>
      <c r="M21" s="20">
        <f>SUM(Empresas!M$17:M21)/SUM(Empresas!M$5:M9)-1</f>
        <v>0.16907275645558317</v>
      </c>
      <c r="N21" s="20">
        <f>SUM(Empresas!N$17:N21)/SUM(Empresas!N$5:N9)-1</f>
        <v>0.16154681791857506</v>
      </c>
      <c r="O21" s="20">
        <f>SUM(Empresas!O$17:O21)/SUM(Empresas!O$5:O9)-1</f>
        <v>0.11031304911492112</v>
      </c>
      <c r="P21" s="20">
        <f>SUM(Empresas!P$17:P21)/SUM(Empresas!P$5:P9)-1</f>
        <v>9.1521610177479618E-2</v>
      </c>
      <c r="Q21" s="20">
        <f>SUM(Empresas!Q$17:Q21)/SUM(Empresas!Q$5:Q9)-1</f>
        <v>4.280519712323283E-2</v>
      </c>
      <c r="R21" s="20">
        <f>SUM(Empresas!R$17:R21)/SUM(Empresas!R$5:R9)-1</f>
        <v>7.5138122317316203E-2</v>
      </c>
      <c r="S21" s="20">
        <f>SUM(Empresas!S$17:S21)/SUM(Empresas!S$5:S9)-1</f>
        <v>0.12164253052425189</v>
      </c>
      <c r="T21" s="20">
        <f>SUM(Empresas!T$17:T21)/SUM(Empresas!T$5:T9)-1</f>
        <v>7.683620904849553E-2</v>
      </c>
      <c r="U21" s="20">
        <f>SUM(Empresas!U$17:U21)/SUM(Empresas!U$5:U9)-1</f>
        <v>0.14105892697791433</v>
      </c>
      <c r="V21" s="20">
        <f>SUM(Empresas!V$17:V21)/SUM(Empresas!V$5:V9)-1</f>
        <v>1.395935222165634E-2</v>
      </c>
      <c r="W21" s="20">
        <f>SUM(Empresas!W$17:W21)/SUM(Empresas!W$5:W9)-1</f>
        <v>0.10651642510053216</v>
      </c>
      <c r="X21" s="20">
        <f>SUM(Empresas!X$17:X21)/SUM(Empresas!X$5:X9)-1</f>
        <v>9.5756402473356816E-2</v>
      </c>
      <c r="Y21" s="20">
        <f>SUM(Empresas!Y$17:Y21)/SUM(Empresas!Y$5:Y9)-1</f>
        <v>0.20500845029351789</v>
      </c>
      <c r="Z21" s="20">
        <f>SUM(Empresas!Z$17:Z21)/SUM(Empresas!Z$5:Z9)-1</f>
        <v>0.11558495760133791</v>
      </c>
      <c r="AA21" s="20">
        <f>SUM(Empresas!AA$17:AA21)/SUM(Empresas!AA$5:AA9)-1</f>
        <v>3.5874606044420387E-2</v>
      </c>
      <c r="AB21" s="21">
        <f>SUM(Empresas!AB$17:AB21)/SUM(Empresas!AB$5:AB9)-1</f>
        <v>9.7790893359647857E-2</v>
      </c>
      <c r="AC21" s="19">
        <f>SUM(Empresas!AC$17:AC21)/SUM(Empresas!AC$5:AC9)-1</f>
        <v>7.2903900903108054E-2</v>
      </c>
      <c r="AD21" s="20">
        <f>SUM(Empresas!AD$17:AD21)/SUM(Empresas!AD$5:AD9)-1</f>
        <v>8.2851238099579172E-2</v>
      </c>
      <c r="AE21" s="20">
        <f>SUM(Empresas!AE$17:AE21)/SUM(Empresas!AE$5:AE9)-1</f>
        <v>4.5719319771561073E-2</v>
      </c>
      <c r="AF21" s="20">
        <f>SUM(Empresas!AF$17:AF21)/SUM(Empresas!AF$5:AF9)-1</f>
        <v>0.12705630713200833</v>
      </c>
      <c r="AG21" s="19">
        <f>SUM(Empresas!AG$17:AG21)/SUM(Empresas!AG$5:AG9)-1</f>
        <v>8.5553677719356624E-2</v>
      </c>
      <c r="AH21" s="20">
        <f>SUM(Empresas!AH$17:AH21)/SUM(Empresas!AH$5:AH9)-1</f>
        <v>8.3213222405953413E-3</v>
      </c>
      <c r="AI21" s="21">
        <f>SUM(Empresas!AI$17:AI21)/SUM(Empresas!AI$5:AI9)-1</f>
        <v>-6.2394042022430041E-3</v>
      </c>
      <c r="AJ21" s="29">
        <f>SUM(Empresas!AJ$17:AJ21)/SUM(Empresas!AJ$5:AJ9)-1</f>
        <v>8.2957763480770996E-2</v>
      </c>
    </row>
    <row r="22" spans="1:36" x14ac:dyDescent="0.35">
      <c r="A22" s="11">
        <v>45809</v>
      </c>
      <c r="B22" s="19">
        <f>SUM(Empresas!B$17:B22)/SUM(Empresas!B$5:B10)-1</f>
        <v>6.5016972547317753E-2</v>
      </c>
      <c r="C22" s="20">
        <f>SUM(Empresas!C$17:C22)/SUM(Empresas!C$5:C10)-1</f>
        <v>2.4904906969281493E-2</v>
      </c>
      <c r="D22" s="20">
        <f>SUM(Empresas!D$17:D22)/SUM(Empresas!D$5:D10)-1</f>
        <v>0.10599839851278392</v>
      </c>
      <c r="E22" s="20">
        <f>SUM(Empresas!E$17:E22)/SUM(Empresas!E$5:E10)-1</f>
        <v>4.6677291935171228E-2</v>
      </c>
      <c r="F22" s="20">
        <f>SUM(Empresas!F$17:F22)/SUM(Empresas!F$5:F10)-1</f>
        <v>6.0419577418931558E-2</v>
      </c>
      <c r="G22" s="20">
        <f>SUM(Empresas!G$17:G22)/SUM(Empresas!G$5:G10)-1</f>
        <v>7.8941943486427579E-2</v>
      </c>
      <c r="H22" s="20">
        <f>SUM(Empresas!H$17:H22)/SUM(Empresas!H$5:H10)-1</f>
        <v>0.11083243642245888</v>
      </c>
      <c r="I22" s="20">
        <f>SUM(Empresas!I$17:I22)/SUM(Empresas!I$5:I10)-1</f>
        <v>1.1798338438233413E-2</v>
      </c>
      <c r="J22" s="20">
        <f>SUM(Empresas!J$17:J22)/SUM(Empresas!J$5:J10)-1</f>
        <v>0.1012886740181782</v>
      </c>
      <c r="K22" s="20">
        <f>SUM(Empresas!K$17:K22)/SUM(Empresas!K$5:K10)-1</f>
        <v>7.1814013296145118E-2</v>
      </c>
      <c r="L22" s="20">
        <f>SUM(Empresas!L$17:L22)/SUM(Empresas!L$5:L10)-1</f>
        <v>8.410146794475204E-2</v>
      </c>
      <c r="M22" s="20">
        <f>SUM(Empresas!M$17:M22)/SUM(Empresas!M$5:M10)-1</f>
        <v>0.17518405687927507</v>
      </c>
      <c r="N22" s="20">
        <f>SUM(Empresas!N$17:N22)/SUM(Empresas!N$5:N10)-1</f>
        <v>0.16564716541332491</v>
      </c>
      <c r="O22" s="20">
        <f>SUM(Empresas!O$17:O22)/SUM(Empresas!O$5:O10)-1</f>
        <v>0.11331616943373679</v>
      </c>
      <c r="P22" s="20">
        <f>SUM(Empresas!P$17:P22)/SUM(Empresas!P$5:P10)-1</f>
        <v>9.7012377727103249E-2</v>
      </c>
      <c r="Q22" s="20">
        <f>SUM(Empresas!Q$17:Q22)/SUM(Empresas!Q$5:Q10)-1</f>
        <v>5.5466622657671882E-2</v>
      </c>
      <c r="R22" s="20">
        <f>SUM(Empresas!R$17:R22)/SUM(Empresas!R$5:R10)-1</f>
        <v>7.3356074672674687E-2</v>
      </c>
      <c r="S22" s="20">
        <f>SUM(Empresas!S$17:S22)/SUM(Empresas!S$5:S10)-1</f>
        <v>0.12096627846561381</v>
      </c>
      <c r="T22" s="20">
        <f>SUM(Empresas!T$17:T22)/SUM(Empresas!T$5:T10)-1</f>
        <v>7.0586063406956834E-2</v>
      </c>
      <c r="U22" s="20">
        <f>SUM(Empresas!U$17:U22)/SUM(Empresas!U$5:U10)-1</f>
        <v>0.13439260376265816</v>
      </c>
      <c r="V22" s="20">
        <f>SUM(Empresas!V$17:V22)/SUM(Empresas!V$5:V10)-1</f>
        <v>2.2092088288013345E-2</v>
      </c>
      <c r="W22" s="20">
        <f>SUM(Empresas!W$17:W22)/SUM(Empresas!W$5:W10)-1</f>
        <v>0.11986485997414076</v>
      </c>
      <c r="X22" s="20">
        <f>SUM(Empresas!X$17:X22)/SUM(Empresas!X$5:X10)-1</f>
        <v>0.10106255571484879</v>
      </c>
      <c r="Y22" s="20">
        <f>SUM(Empresas!Y$17:Y22)/SUM(Empresas!Y$5:Y10)-1</f>
        <v>0.17770692600721261</v>
      </c>
      <c r="Z22" s="20">
        <f>SUM(Empresas!Z$17:Z22)/SUM(Empresas!Z$5:Z10)-1</f>
        <v>0.11921783151789023</v>
      </c>
      <c r="AA22" s="20">
        <f>SUM(Empresas!AA$17:AA22)/SUM(Empresas!AA$5:AA10)-1</f>
        <v>5.3961215066139268E-2</v>
      </c>
      <c r="AB22" s="21">
        <f>SUM(Empresas!AB$17:AB22)/SUM(Empresas!AB$5:AB10)-1</f>
        <v>0.10621352786662941</v>
      </c>
      <c r="AC22" s="19">
        <f>SUM(Empresas!AC$17:AC22)/SUM(Empresas!AC$5:AC10)-1</f>
        <v>7.7255417145628114E-2</v>
      </c>
      <c r="AD22" s="20">
        <f>SUM(Empresas!AD$17:AD22)/SUM(Empresas!AD$5:AD10)-1</f>
        <v>8.1971332491958204E-2</v>
      </c>
      <c r="AE22" s="20">
        <f>SUM(Empresas!AE$17:AE22)/SUM(Empresas!AE$5:AE10)-1</f>
        <v>4.5592442262836652E-2</v>
      </c>
      <c r="AF22" s="20">
        <f>SUM(Empresas!AF$17:AF22)/SUM(Empresas!AF$5:AF10)-1</f>
        <v>0.13734149767832138</v>
      </c>
      <c r="AG22" s="19">
        <f>SUM(Empresas!AG$17:AG22)/SUM(Empresas!AG$5:AG10)-1</f>
        <v>8.9359490314926848E-2</v>
      </c>
      <c r="AH22" s="20">
        <f>SUM(Empresas!AH$17:AH22)/SUM(Empresas!AH$5:AH10)-1</f>
        <v>1.0273431028099411E-2</v>
      </c>
      <c r="AI22" s="21">
        <f>SUM(Empresas!AI$17:AI22)/SUM(Empresas!AI$5:AI10)-1</f>
        <v>-6.3214702806484446E-3</v>
      </c>
      <c r="AJ22" s="29">
        <f>SUM(Empresas!AJ$17:AJ22)/SUM(Empresas!AJ$5:AJ10)-1</f>
        <v>8.6702772088404378E-2</v>
      </c>
    </row>
    <row r="23" spans="1:36" x14ac:dyDescent="0.35">
      <c r="A23" s="11">
        <v>45839</v>
      </c>
      <c r="B23" s="19">
        <f>SUM(Empresas!B$17:B23)/SUM(Empresas!B$5:B11)-1</f>
        <v>8.1026309116481565E-2</v>
      </c>
      <c r="C23" s="20">
        <f>SUM(Empresas!C$17:C23)/SUM(Empresas!C$5:C11)-1</f>
        <v>4.198012037803811E-2</v>
      </c>
      <c r="D23" s="20">
        <f>SUM(Empresas!D$17:D23)/SUM(Empresas!D$5:D11)-1</f>
        <v>0.13603249236452664</v>
      </c>
      <c r="E23" s="20">
        <f>SUM(Empresas!E$17:E23)/SUM(Empresas!E$5:E11)-1</f>
        <v>6.1952333621067446E-2</v>
      </c>
      <c r="F23" s="20">
        <f>SUM(Empresas!F$17:F23)/SUM(Empresas!F$5:F11)-1</f>
        <v>6.2349345584300275E-2</v>
      </c>
      <c r="G23" s="20">
        <f>SUM(Empresas!G$17:G23)/SUM(Empresas!G$5:G11)-1</f>
        <v>7.8836526332976664E-2</v>
      </c>
      <c r="H23" s="20">
        <f>SUM(Empresas!H$17:H23)/SUM(Empresas!H$5:H11)-1</f>
        <v>7.0694426357446938E-2</v>
      </c>
      <c r="I23" s="20">
        <f>SUM(Empresas!I$17:I23)/SUM(Empresas!I$5:I11)-1</f>
        <v>-1.4719044468628595E-2</v>
      </c>
      <c r="J23" s="20">
        <f>SUM(Empresas!J$17:J23)/SUM(Empresas!J$5:J11)-1</f>
        <v>8.9836073964659091E-2</v>
      </c>
      <c r="K23" s="20">
        <f>SUM(Empresas!K$17:K23)/SUM(Empresas!K$5:K11)-1</f>
        <v>8.1458788349323186E-2</v>
      </c>
      <c r="L23" s="20">
        <f>SUM(Empresas!L$17:L23)/SUM(Empresas!L$5:L11)-1</f>
        <v>7.1883437851153031E-2</v>
      </c>
      <c r="M23" s="20">
        <f>SUM(Empresas!M$17:M23)/SUM(Empresas!M$5:M11)-1</f>
        <v>0.11164661262839015</v>
      </c>
      <c r="N23" s="20">
        <f>SUM(Empresas!N$17:N23)/SUM(Empresas!N$5:N11)-1</f>
        <v>0.14059265855264158</v>
      </c>
      <c r="O23" s="20">
        <f>SUM(Empresas!O$17:O23)/SUM(Empresas!O$5:O11)-1</f>
        <v>0.12352230015187304</v>
      </c>
      <c r="P23" s="20">
        <f>SUM(Empresas!P$17:P23)/SUM(Empresas!P$5:P11)-1</f>
        <v>9.3779197470262865E-2</v>
      </c>
      <c r="Q23" s="20">
        <f>SUM(Empresas!Q$17:Q23)/SUM(Empresas!Q$5:Q11)-1</f>
        <v>5.5484878157045614E-2</v>
      </c>
      <c r="R23" s="20">
        <f>SUM(Empresas!R$17:R23)/SUM(Empresas!R$5:R11)-1</f>
        <v>7.832616227684186E-2</v>
      </c>
      <c r="S23" s="20">
        <f>SUM(Empresas!S$17:S23)/SUM(Empresas!S$5:S11)-1</f>
        <v>0.1145147397248043</v>
      </c>
      <c r="T23" s="20">
        <f>SUM(Empresas!T$17:T23)/SUM(Empresas!T$5:T11)-1</f>
        <v>3.7879306523911582E-2</v>
      </c>
      <c r="U23" s="20">
        <f>SUM(Empresas!U$17:U23)/SUM(Empresas!U$5:U11)-1</f>
        <v>0.12605614015819899</v>
      </c>
      <c r="V23" s="20">
        <f>SUM(Empresas!V$17:V23)/SUM(Empresas!V$5:V11)-1</f>
        <v>4.1530377984941858E-2</v>
      </c>
      <c r="W23" s="20">
        <f>SUM(Empresas!W$17:W23)/SUM(Empresas!W$5:W11)-1</f>
        <v>0.13639575052663155</v>
      </c>
      <c r="X23" s="20">
        <f>SUM(Empresas!X$17:X23)/SUM(Empresas!X$5:X11)-1</f>
        <v>9.2301490019889298E-2</v>
      </c>
      <c r="Y23" s="20">
        <f>SUM(Empresas!Y$17:Y23)/SUM(Empresas!Y$5:Y11)-1</f>
        <v>0.16296105050985266</v>
      </c>
      <c r="Z23" s="20">
        <f>SUM(Empresas!Z$17:Z23)/SUM(Empresas!Z$5:Z11)-1</f>
        <v>0.11368467760564149</v>
      </c>
      <c r="AA23" s="20">
        <f>SUM(Empresas!AA$17:AA23)/SUM(Empresas!AA$5:AA11)-1</f>
        <v>5.5676586064648204E-2</v>
      </c>
      <c r="AB23" s="21">
        <f>SUM(Empresas!AB$17:AB23)/SUM(Empresas!AB$5:AB11)-1</f>
        <v>0.10678472921247173</v>
      </c>
      <c r="AC23" s="19">
        <f>SUM(Empresas!AC$17:AC23)/SUM(Empresas!AC$5:AC11)-1</f>
        <v>5.6833628937250857E-2</v>
      </c>
      <c r="AD23" s="20">
        <f>SUM(Empresas!AD$17:AD23)/SUM(Empresas!AD$5:AD11)-1</f>
        <v>7.6447386598029743E-2</v>
      </c>
      <c r="AE23" s="20">
        <f>SUM(Empresas!AE$17:AE23)/SUM(Empresas!AE$5:AE11)-1</f>
        <v>3.9757261680614775E-2</v>
      </c>
      <c r="AF23" s="20">
        <f>SUM(Empresas!AF$17:AF23)/SUM(Empresas!AF$5:AF11)-1</f>
        <v>0.1274480847328987</v>
      </c>
      <c r="AG23" s="19">
        <f>SUM(Empresas!AG$17:AG23)/SUM(Empresas!AG$5:AG11)-1</f>
        <v>8.1451419859733143E-2</v>
      </c>
      <c r="AH23" s="20">
        <f>SUM(Empresas!AH$17:AH23)/SUM(Empresas!AH$5:AH11)-1</f>
        <v>1.7193889763169823E-2</v>
      </c>
      <c r="AI23" s="21">
        <f>SUM(Empresas!AI$17:AI23)/SUM(Empresas!AI$5:AI11)-1</f>
        <v>-4.0454042389402867E-3</v>
      </c>
      <c r="AJ23" s="29">
        <f>SUM(Empresas!AJ$17:AJ23)/SUM(Empresas!AJ$5:AJ11)-1</f>
        <v>7.9256015290880999E-2</v>
      </c>
    </row>
    <row r="24" spans="1:36" x14ac:dyDescent="0.35">
      <c r="A24" s="11">
        <v>45870</v>
      </c>
      <c r="B24" s="19">
        <f>SUM(Empresas!B$17:B24)/SUM(Empresas!B$5:B12)-1</f>
        <v>6.7172782014241594E-2</v>
      </c>
      <c r="C24" s="20">
        <f>SUM(Empresas!C$17:C24)/SUM(Empresas!C$5:C12)-1</f>
        <v>2.3766940176658036E-2</v>
      </c>
      <c r="D24" s="20">
        <f>SUM(Empresas!D$17:D24)/SUM(Empresas!D$5:D12)-1</f>
        <v>0.13561745512374501</v>
      </c>
      <c r="E24" s="20">
        <f>SUM(Empresas!E$17:E24)/SUM(Empresas!E$5:E12)-1</f>
        <v>4.9438230359512447E-2</v>
      </c>
      <c r="F24" s="20">
        <f>SUM(Empresas!F$17:F24)/SUM(Empresas!F$5:F12)-1</f>
        <v>4.6791766053062567E-2</v>
      </c>
      <c r="G24" s="20">
        <f>SUM(Empresas!G$17:G24)/SUM(Empresas!G$5:G12)-1</f>
        <v>4.6335971774482898E-2</v>
      </c>
      <c r="H24" s="20">
        <f>SUM(Empresas!H$17:H24)/SUM(Empresas!H$5:H12)-1</f>
        <v>3.9606119459633105E-2</v>
      </c>
      <c r="I24" s="20">
        <f>SUM(Empresas!I$17:I24)/SUM(Empresas!I$5:I12)-1</f>
        <v>-1.6506652745138073E-2</v>
      </c>
      <c r="J24" s="20">
        <f>SUM(Empresas!J$17:J24)/SUM(Empresas!J$5:J12)-1</f>
        <v>7.5544261533030177E-2</v>
      </c>
      <c r="K24" s="20">
        <f>SUM(Empresas!K$17:K24)/SUM(Empresas!K$5:K12)-1</f>
        <v>5.7615694389653305E-2</v>
      </c>
      <c r="L24" s="20">
        <f>SUM(Empresas!L$17:L24)/SUM(Empresas!L$5:L12)-1</f>
        <v>6.0788316976699619E-2</v>
      </c>
      <c r="M24" s="20">
        <f>SUM(Empresas!M$17:M24)/SUM(Empresas!M$5:M12)-1</f>
        <v>0.12738142982701661</v>
      </c>
      <c r="N24" s="20">
        <f>SUM(Empresas!N$17:N24)/SUM(Empresas!N$5:N12)-1</f>
        <v>0.13258540404585628</v>
      </c>
      <c r="O24" s="20">
        <f>SUM(Empresas!O$17:O24)/SUM(Empresas!O$5:O12)-1</f>
        <v>0.11466558006729022</v>
      </c>
      <c r="P24" s="20">
        <f>SUM(Empresas!P$17:P24)/SUM(Empresas!P$5:P12)-1</f>
        <v>7.5538141947721238E-2</v>
      </c>
      <c r="Q24" s="20">
        <f>SUM(Empresas!Q$17:Q24)/SUM(Empresas!Q$5:Q12)-1</f>
        <v>-3.0159812986677248E-2</v>
      </c>
      <c r="R24" s="20">
        <f>SUM(Empresas!R$17:R24)/SUM(Empresas!R$5:R12)-1</f>
        <v>6.0697295104057414E-2</v>
      </c>
      <c r="S24" s="20">
        <f>SUM(Empresas!S$17:S24)/SUM(Empresas!S$5:S12)-1</f>
        <v>0.10323784859561091</v>
      </c>
      <c r="T24" s="20">
        <f>SUM(Empresas!T$17:T24)/SUM(Empresas!T$5:T12)-1</f>
        <v>1.5264148689244195E-2</v>
      </c>
      <c r="U24" s="20">
        <f>SUM(Empresas!U$17:U24)/SUM(Empresas!U$5:U12)-1</f>
        <v>0.10991799470723262</v>
      </c>
      <c r="V24" s="20">
        <f>SUM(Empresas!V$17:V24)/SUM(Empresas!V$5:V12)-1</f>
        <v>3.4204045760343194E-2</v>
      </c>
      <c r="W24" s="20">
        <f>SUM(Empresas!W$17:W24)/SUM(Empresas!W$5:W12)-1</f>
        <v>0.13035195739587979</v>
      </c>
      <c r="X24" s="20">
        <f>SUM(Empresas!X$17:X24)/SUM(Empresas!X$5:X12)-1</f>
        <v>8.1070426794946249E-2</v>
      </c>
      <c r="Y24" s="20">
        <f>SUM(Empresas!Y$17:Y24)/SUM(Empresas!Y$5:Y12)-1</f>
        <v>0.14596554240041892</v>
      </c>
      <c r="Z24" s="20">
        <f>SUM(Empresas!Z$17:Z24)/SUM(Empresas!Z$5:Z12)-1</f>
        <v>9.5897928361351692E-2</v>
      </c>
      <c r="AA24" s="20">
        <f>SUM(Empresas!AA$17:AA24)/SUM(Empresas!AA$5:AA12)-1</f>
        <v>4.180498638981045E-2</v>
      </c>
      <c r="AB24" s="21">
        <f>SUM(Empresas!AB$17:AB24)/SUM(Empresas!AB$5:AB12)-1</f>
        <v>0.10209769834282012</v>
      </c>
      <c r="AC24" s="19">
        <f>SUM(Empresas!AC$17:AC24)/SUM(Empresas!AC$5:AC12)-1</f>
        <v>4.4552095688900728E-2</v>
      </c>
      <c r="AD24" s="20">
        <f>SUM(Empresas!AD$17:AD24)/SUM(Empresas!AD$5:AD12)-1</f>
        <v>6.257397899904249E-2</v>
      </c>
      <c r="AE24" s="20">
        <f>SUM(Empresas!AE$17:AE24)/SUM(Empresas!AE$5:AE12)-1</f>
        <v>2.5240358347588865E-2</v>
      </c>
      <c r="AF24" s="20">
        <f>SUM(Empresas!AF$17:AF24)/SUM(Empresas!AF$5:AF12)-1</f>
        <v>0.10884083616961959</v>
      </c>
      <c r="AG24" s="19">
        <f>SUM(Empresas!AG$17:AG24)/SUM(Empresas!AG$5:AG12)-1</f>
        <v>6.4525215322166707E-2</v>
      </c>
      <c r="AH24" s="20">
        <f>SUM(Empresas!AH$17:AH24)/SUM(Empresas!AH$5:AH12)-1</f>
        <v>3.8076024916684936E-2</v>
      </c>
      <c r="AI24" s="21">
        <f>SUM(Empresas!AI$17:AI24)/SUM(Empresas!AI$5:AI12)-1</f>
        <v>4.2147642288912213E-3</v>
      </c>
      <c r="AJ24" s="29">
        <f>SUM(Empresas!AJ$17:AJ24)/SUM(Empresas!AJ$5:AJ12)-1</f>
        <v>6.340069631318701E-2</v>
      </c>
    </row>
    <row r="25" spans="1:36" x14ac:dyDescent="0.35">
      <c r="A25" s="11">
        <v>45901</v>
      </c>
      <c r="B25" s="19">
        <f>SUM(Empresas!B$17:B25)/SUM(Empresas!B$5:B13)-1</f>
        <v>6.6340731396383301E-2</v>
      </c>
      <c r="C25" s="20">
        <f>SUM(Empresas!C$17:C25)/SUM(Empresas!C$5:C13)-1</f>
        <v>3.2630936918239817E-2</v>
      </c>
      <c r="D25" s="20">
        <f>SUM(Empresas!D$17:D25)/SUM(Empresas!D$5:D13)-1</f>
        <v>0.12960399950644441</v>
      </c>
      <c r="E25" s="20">
        <f>SUM(Empresas!E$17:E25)/SUM(Empresas!E$5:E13)-1</f>
        <v>5.9341682302103349E-2</v>
      </c>
      <c r="F25" s="20">
        <f>SUM(Empresas!F$17:F25)/SUM(Empresas!F$5:F13)-1</f>
        <v>5.6164163445455939E-2</v>
      </c>
      <c r="G25" s="20">
        <f>SUM(Empresas!G$17:G25)/SUM(Empresas!G$5:G13)-1</f>
        <v>4.7046447086658283E-2</v>
      </c>
      <c r="H25" s="20">
        <f>SUM(Empresas!H$17:H25)/SUM(Empresas!H$5:H13)-1</f>
        <v>4.7450706613837434E-2</v>
      </c>
      <c r="I25" s="20">
        <f>SUM(Empresas!I$17:I25)/SUM(Empresas!I$5:I13)-1</f>
        <v>-6.1904706157112077E-3</v>
      </c>
      <c r="J25" s="20">
        <f>SUM(Empresas!J$17:J25)/SUM(Empresas!J$5:J13)-1</f>
        <v>8.4799719230010062E-2</v>
      </c>
      <c r="K25" s="20">
        <f>SUM(Empresas!K$17:K25)/SUM(Empresas!K$5:K13)-1</f>
        <v>5.4818165933975926E-2</v>
      </c>
      <c r="L25" s="20">
        <f>SUM(Empresas!L$17:L25)/SUM(Empresas!L$5:L13)-1</f>
        <v>6.7893764175809501E-2</v>
      </c>
      <c r="M25" s="20">
        <f>SUM(Empresas!M$17:M25)/SUM(Empresas!M$5:M13)-1</f>
        <v>0.152756480699487</v>
      </c>
      <c r="N25" s="20">
        <f>SUM(Empresas!N$17:N25)/SUM(Empresas!N$5:N13)-1</f>
        <v>0.1402968215801963</v>
      </c>
      <c r="O25" s="20">
        <f>SUM(Empresas!O$17:O25)/SUM(Empresas!O$5:O13)-1</f>
        <v>0.11498098177096661</v>
      </c>
      <c r="P25" s="20">
        <f>SUM(Empresas!P$17:P25)/SUM(Empresas!P$5:P13)-1</f>
        <v>8.0974590365317178E-2</v>
      </c>
      <c r="Q25" s="20">
        <f>SUM(Empresas!Q$17:Q25)/SUM(Empresas!Q$5:Q13)-1</f>
        <v>-2.1814793240478525E-2</v>
      </c>
      <c r="R25" s="20">
        <f>SUM(Empresas!R$17:R25)/SUM(Empresas!R$5:R13)-1</f>
        <v>5.9677438627635748E-2</v>
      </c>
      <c r="S25" s="20">
        <f>SUM(Empresas!S$17:S25)/SUM(Empresas!S$5:S13)-1</f>
        <v>0.10614683630406807</v>
      </c>
      <c r="T25" s="20">
        <f>SUM(Empresas!T$17:T25)/SUM(Empresas!T$5:T13)-1</f>
        <v>1.6084237281033475E-2</v>
      </c>
      <c r="U25" s="20">
        <f>SUM(Empresas!U$17:U25)/SUM(Empresas!U$5:U13)-1</f>
        <v>0.11539670864758911</v>
      </c>
      <c r="V25" s="20">
        <f>SUM(Empresas!V$17:V25)/SUM(Empresas!V$5:V13)-1</f>
        <v>4.6479718918014168E-2</v>
      </c>
      <c r="W25" s="20">
        <f>SUM(Empresas!W$17:W25)/SUM(Empresas!W$5:W13)-1</f>
        <v>0.15097126464824484</v>
      </c>
      <c r="X25" s="20">
        <f>SUM(Empresas!X$17:X25)/SUM(Empresas!X$5:X13)-1</f>
        <v>9.3776819601924188E-2</v>
      </c>
      <c r="Y25" s="20">
        <f>SUM(Empresas!Y$17:Y25)/SUM(Empresas!Y$5:Y13)-1</f>
        <v>0.14462932850237453</v>
      </c>
      <c r="Z25" s="20">
        <f>SUM(Empresas!Z$17:Z25)/SUM(Empresas!Z$5:Z13)-1</f>
        <v>9.2490814853982251E-2</v>
      </c>
      <c r="AA25" s="20">
        <f>SUM(Empresas!AA$17:AA25)/SUM(Empresas!AA$5:AA13)-1</f>
        <v>6.4008145519879545E-2</v>
      </c>
      <c r="AB25" s="21">
        <f>SUM(Empresas!AB$17:AB25)/SUM(Empresas!AB$5:AB13)-1</f>
        <v>0.10930666298751257</v>
      </c>
      <c r="AC25" s="19">
        <f>SUM(Empresas!AC$17:AC25)/SUM(Empresas!AC$5:AC13)-1</f>
        <v>5.9347334505845506E-2</v>
      </c>
      <c r="AD25" s="20">
        <f>SUM(Empresas!AD$17:AD25)/SUM(Empresas!AD$5:AD13)-1</f>
        <v>7.039308780109943E-2</v>
      </c>
      <c r="AE25" s="20">
        <f>SUM(Empresas!AE$17:AE25)/SUM(Empresas!AE$5:AE13)-1</f>
        <v>3.5282922662249749E-2</v>
      </c>
      <c r="AF25" s="20">
        <f>SUM(Empresas!AF$17:AF25)/SUM(Empresas!AF$5:AF13)-1</f>
        <v>0.11986216494850632</v>
      </c>
      <c r="AG25" s="19">
        <f>SUM(Empresas!AG$17:AG25)/SUM(Empresas!AG$5:AG13)-1</f>
        <v>7.5140241052153556E-2</v>
      </c>
      <c r="AH25" s="20">
        <f>SUM(Empresas!AH$17:AH25)/SUM(Empresas!AH$5:AH13)-1</f>
        <v>3.3498049982630729E-2</v>
      </c>
      <c r="AI25" s="21">
        <f>SUM(Empresas!AI$17:AI25)/SUM(Empresas!AI$5:AI13)-1</f>
        <v>7.2292649135892173E-3</v>
      </c>
      <c r="AJ25" s="29">
        <f>SUM(Empresas!AJ$17:AJ25)/SUM(Empresas!AJ$5:AJ13)-1</f>
        <v>7.3616054814540144E-2</v>
      </c>
    </row>
    <row r="26" spans="1:36" x14ac:dyDescent="0.35">
      <c r="A26" s="11">
        <v>45931</v>
      </c>
      <c r="B26" s="19">
        <f>SUM(Empresas!B$17:B26)/SUM(Empresas!B$5:B14)-1</f>
        <v>8.0963675373030508E-2</v>
      </c>
      <c r="C26" s="20">
        <f>SUM(Empresas!C$17:C26)/SUM(Empresas!C$5:C14)-1</f>
        <v>4.8277420473889832E-2</v>
      </c>
      <c r="D26" s="20">
        <f>SUM(Empresas!D$17:D26)/SUM(Empresas!D$5:D14)-1</f>
        <v>0.1521297450960124</v>
      </c>
      <c r="E26" s="20">
        <f>SUM(Empresas!E$17:E26)/SUM(Empresas!E$5:E14)-1</f>
        <v>8.0147972034779524E-2</v>
      </c>
      <c r="F26" s="20">
        <f>SUM(Empresas!F$17:F26)/SUM(Empresas!F$5:F14)-1</f>
        <v>6.7048400168625566E-2</v>
      </c>
      <c r="G26" s="20">
        <f>SUM(Empresas!G$17:G26)/SUM(Empresas!G$5:G14)-1</f>
        <v>6.3105136916109306E-2</v>
      </c>
      <c r="H26" s="20">
        <f>SUM(Empresas!H$17:H26)/SUM(Empresas!H$5:H14)-1</f>
        <v>6.5206245461803203E-2</v>
      </c>
      <c r="I26" s="20">
        <f>SUM(Empresas!I$17:I26)/SUM(Empresas!I$5:I14)-1</f>
        <v>2.8954360191091322E-3</v>
      </c>
      <c r="J26" s="20">
        <f>SUM(Empresas!J$17:J26)/SUM(Empresas!J$5:J14)-1</f>
        <v>9.5640401415509446E-2</v>
      </c>
      <c r="K26" s="20">
        <f>SUM(Empresas!K$17:K26)/SUM(Empresas!K$5:K14)-1</f>
        <v>6.8011502277058211E-2</v>
      </c>
      <c r="L26" s="20">
        <f>SUM(Empresas!L$17:L26)/SUM(Empresas!L$5:L14)-1</f>
        <v>7.9928531359266808E-2</v>
      </c>
      <c r="M26" s="20">
        <f>SUM(Empresas!M$17:M26)/SUM(Empresas!M$5:M14)-1</f>
        <v>0.18505629720704531</v>
      </c>
      <c r="N26" s="20">
        <f>SUM(Empresas!N$17:N26)/SUM(Empresas!N$5:N14)-1</f>
        <v>0.15284740558200904</v>
      </c>
      <c r="O26" s="20">
        <f>SUM(Empresas!O$17:O26)/SUM(Empresas!O$5:O14)-1</f>
        <v>0.12681806174851573</v>
      </c>
      <c r="P26" s="20">
        <f>SUM(Empresas!P$17:P26)/SUM(Empresas!P$5:P14)-1</f>
        <v>9.3910515224297386E-2</v>
      </c>
      <c r="Q26" s="20">
        <f>SUM(Empresas!Q$17:Q26)/SUM(Empresas!Q$5:Q14)-1</f>
        <v>-3.2290935402364829E-3</v>
      </c>
      <c r="R26" s="20">
        <f>SUM(Empresas!R$17:R26)/SUM(Empresas!R$5:R14)-1</f>
        <v>7.079546854852059E-2</v>
      </c>
      <c r="S26" s="20">
        <f>SUM(Empresas!S$17:S26)/SUM(Empresas!S$5:S14)-1</f>
        <v>0.11433521902689248</v>
      </c>
      <c r="T26" s="20">
        <f>SUM(Empresas!T$17:T26)/SUM(Empresas!T$5:T14)-1</f>
        <v>3.8758400183076747E-2</v>
      </c>
      <c r="U26" s="20">
        <f>SUM(Empresas!U$17:U26)/SUM(Empresas!U$5:U14)-1</f>
        <v>0.11914465433319243</v>
      </c>
      <c r="V26" s="20">
        <f>SUM(Empresas!V$17:V26)/SUM(Empresas!V$5:V14)-1</f>
        <v>5.8642796718528567E-2</v>
      </c>
      <c r="W26" s="20">
        <f>SUM(Empresas!W$17:W26)/SUM(Empresas!W$5:W14)-1</f>
        <v>0.1689808688387866</v>
      </c>
      <c r="X26" s="20">
        <f>SUM(Empresas!X$17:X26)/SUM(Empresas!X$5:X14)-1</f>
        <v>0.10737163634841185</v>
      </c>
      <c r="Y26" s="20">
        <f>SUM(Empresas!Y$17:Y26)/SUM(Empresas!Y$5:Y14)-1</f>
        <v>0.14397100744445934</v>
      </c>
      <c r="Z26" s="20">
        <f>SUM(Empresas!Z$17:Z26)/SUM(Empresas!Z$5:Z14)-1</f>
        <v>0.10115472250644442</v>
      </c>
      <c r="AA26" s="20">
        <f>SUM(Empresas!AA$17:AA26)/SUM(Empresas!AA$5:AA14)-1</f>
        <v>8.380365143388957E-2</v>
      </c>
      <c r="AB26" s="21">
        <f>SUM(Empresas!AB$17:AB26)/SUM(Empresas!AB$5:AB14)-1</f>
        <v>0.12848707986973373</v>
      </c>
      <c r="AC26" s="19">
        <f>SUM(Empresas!AC$17:AC26)/SUM(Empresas!AC$5:AC14)-1</f>
        <v>7.7972520269942613E-2</v>
      </c>
      <c r="AD26" s="20">
        <f>SUM(Empresas!AD$17:AD26)/SUM(Empresas!AD$5:AD14)-1</f>
        <v>8.2042434164188549E-2</v>
      </c>
      <c r="AE26" s="20">
        <f>SUM(Empresas!AE$17:AE26)/SUM(Empresas!AE$5:AE14)-1</f>
        <v>4.7004436161646401E-2</v>
      </c>
      <c r="AF26" s="20">
        <f>SUM(Empresas!AF$17:AF26)/SUM(Empresas!AF$5:AF14)-1</f>
        <v>0.13898965323961687</v>
      </c>
      <c r="AG26" s="19">
        <f>SUM(Empresas!AG$17:AG26)/SUM(Empresas!AG$5:AG14)-1</f>
        <v>8.9913544374438326E-2</v>
      </c>
      <c r="AH26" s="20">
        <f>SUM(Empresas!AH$17:AH26)/SUM(Empresas!AH$5:AH14)-1</f>
        <v>4.6041691783799132E-2</v>
      </c>
      <c r="AI26" s="21">
        <f>SUM(Empresas!AI$17:AI26)/SUM(Empresas!AI$5:AI14)-1</f>
        <v>1.6394236152964536E-2</v>
      </c>
      <c r="AJ26" s="29">
        <f>SUM(Empresas!AJ$17:AJ26)/SUM(Empresas!AJ$5:AJ14)-1</f>
        <v>8.8296838776566355E-2</v>
      </c>
    </row>
    <row r="27" spans="1:36" x14ac:dyDescent="0.35">
      <c r="A27" s="11">
        <v>45962</v>
      </c>
      <c r="B27" s="19">
        <f>SUM(Empresas!B$17:B27)/SUM(Empresas!B$5:B15)-1</f>
        <v>8.4081412558959734E-2</v>
      </c>
      <c r="C27" s="20">
        <f>SUM(Empresas!C$17:C27)/SUM(Empresas!C$5:C15)-1</f>
        <v>5.1238272723816092E-2</v>
      </c>
      <c r="D27" s="20">
        <f>SUM(Empresas!D$17:D27)/SUM(Empresas!D$5:D15)-1</f>
        <v>0.15417954051040317</v>
      </c>
      <c r="E27" s="20">
        <f>SUM(Empresas!E$17:E27)/SUM(Empresas!E$5:E15)-1</f>
        <v>8.4648638178624891E-2</v>
      </c>
      <c r="F27" s="20">
        <f>SUM(Empresas!F$17:F27)/SUM(Empresas!F$5:F15)-1</f>
        <v>6.8237255535564589E-2</v>
      </c>
      <c r="G27" s="20">
        <f>SUM(Empresas!G$17:G27)/SUM(Empresas!G$5:G15)-1</f>
        <v>6.6226293189958652E-2</v>
      </c>
      <c r="H27" s="20">
        <f>SUM(Empresas!H$17:H27)/SUM(Empresas!H$5:H15)-1</f>
        <v>9.233391294993365E-2</v>
      </c>
      <c r="I27" s="20">
        <f>SUM(Empresas!I$17:I27)/SUM(Empresas!I$5:I15)-1</f>
        <v>9.8908611449730621E-3</v>
      </c>
      <c r="J27" s="20">
        <f>SUM(Empresas!J$17:J27)/SUM(Empresas!J$5:J15)-1</f>
        <v>9.6259756776982064E-2</v>
      </c>
      <c r="K27" s="20">
        <f>SUM(Empresas!K$17:K27)/SUM(Empresas!K$5:K15)-1</f>
        <v>7.0581958678740619E-2</v>
      </c>
      <c r="L27" s="20">
        <f>SUM(Empresas!L$17:L27)/SUM(Empresas!L$5:L15)-1</f>
        <v>8.1739444010654472E-2</v>
      </c>
      <c r="M27" s="20">
        <f>SUM(Empresas!M$17:M27)/SUM(Empresas!M$5:M15)-1</f>
        <v>0.19771292951130182</v>
      </c>
      <c r="N27" s="20">
        <f>SUM(Empresas!N$17:N27)/SUM(Empresas!N$5:N15)-1</f>
        <v>0.15442226311288398</v>
      </c>
      <c r="O27" s="20">
        <f>SUM(Empresas!O$17:O27)/SUM(Empresas!O$5:O15)-1</f>
        <v>0.12609893584766274</v>
      </c>
      <c r="P27" s="20">
        <f>SUM(Empresas!P$17:P27)/SUM(Empresas!P$5:P15)-1</f>
        <v>9.0409272416276831E-2</v>
      </c>
      <c r="Q27" s="20">
        <f>SUM(Empresas!Q$17:Q27)/SUM(Empresas!Q$5:Q15)-1</f>
        <v>2.5435423031601179E-3</v>
      </c>
      <c r="R27" s="20">
        <f>SUM(Empresas!R$17:R27)/SUM(Empresas!R$5:R15)-1</f>
        <v>7.0346816734086604E-2</v>
      </c>
      <c r="S27" s="20">
        <f>SUM(Empresas!S$17:S27)/SUM(Empresas!S$5:S15)-1</f>
        <v>0.11542133110151087</v>
      </c>
      <c r="T27" s="20">
        <f>SUM(Empresas!T$17:T27)/SUM(Empresas!T$5:T15)-1</f>
        <v>4.1581143381459462E-2</v>
      </c>
      <c r="U27" s="20">
        <f>SUM(Empresas!U$17:U27)/SUM(Empresas!U$5:U15)-1</f>
        <v>0.11250079578262229</v>
      </c>
      <c r="V27" s="20">
        <f>SUM(Empresas!V$17:V27)/SUM(Empresas!V$5:V15)-1</f>
        <v>6.0768318399958998E-2</v>
      </c>
      <c r="W27" s="20">
        <f>SUM(Empresas!W$17:W27)/SUM(Empresas!W$5:W15)-1</f>
        <v>0.1785236366613514</v>
      </c>
      <c r="X27" s="20">
        <f>SUM(Empresas!X$17:X27)/SUM(Empresas!X$5:X15)-1</f>
        <v>0.10978269525718765</v>
      </c>
      <c r="Y27" s="20">
        <f>SUM(Empresas!Y$17:Y27)/SUM(Empresas!Y$5:Y15)-1</f>
        <v>0.14109224164113598</v>
      </c>
      <c r="Z27" s="20">
        <f>SUM(Empresas!Z$17:Z27)/SUM(Empresas!Z$5:Z15)-1</f>
        <v>0.10003046141056338</v>
      </c>
      <c r="AA27" s="20">
        <f>SUM(Empresas!AA$17:AA27)/SUM(Empresas!AA$5:AA15)-1</f>
        <v>8.2639889598484562E-2</v>
      </c>
      <c r="AB27" s="21">
        <f>SUM(Empresas!AB$17:AB27)/SUM(Empresas!AB$5:AB15)-1</f>
        <v>0.1306512277019074</v>
      </c>
      <c r="AC27" s="19">
        <f>SUM(Empresas!AC$17:AC27)/SUM(Empresas!AC$5:AC15)-1</f>
        <v>7.4104055923978063E-2</v>
      </c>
      <c r="AD27" s="20">
        <f>SUM(Empresas!AD$17:AD27)/SUM(Empresas!AD$5:AD15)-1</f>
        <v>8.4356066516307004E-2</v>
      </c>
      <c r="AE27" s="20">
        <f>SUM(Empresas!AE$17:AE27)/SUM(Empresas!AE$5:AE15)-1</f>
        <v>4.9800366890081493E-2</v>
      </c>
      <c r="AF27" s="20">
        <f>SUM(Empresas!AF$17:AF27)/SUM(Empresas!AF$5:AF15)-1</f>
        <v>0.13832076739778043</v>
      </c>
      <c r="AG27" s="19">
        <f>SUM(Empresas!AG$17:AG27)/SUM(Empresas!AG$5:AG15)-1</f>
        <v>9.1110455357306774E-2</v>
      </c>
      <c r="AH27" s="20">
        <f>SUM(Empresas!AH$17:AH27)/SUM(Empresas!AH$5:AH15)-1</f>
        <v>5.4806965888210657E-2</v>
      </c>
      <c r="AI27" s="21">
        <f>SUM(Empresas!AI$17:AI27)/SUM(Empresas!AI$5:AI15)-1</f>
        <v>2.2082815748473816E-2</v>
      </c>
      <c r="AJ27" s="29">
        <f>SUM(Empresas!AJ$17:AJ27)/SUM(Empresas!AJ$5:AJ15)-1</f>
        <v>8.9695799309809532E-2</v>
      </c>
    </row>
    <row r="28" spans="1:36" ht="15" thickBot="1" x14ac:dyDescent="0.4">
      <c r="A28" s="15">
        <v>45992</v>
      </c>
      <c r="B28" s="22">
        <f>SUM(Empresas!B$17:B28)/SUM(Empresas!B$5:B16)-1</f>
        <v>9.5891930599817155E-2</v>
      </c>
      <c r="C28" s="23">
        <f>SUM(Empresas!C$17:C28)/SUM(Empresas!C$5:C16)-1</f>
        <v>6.2901678553519025E-2</v>
      </c>
      <c r="D28" s="23">
        <f>SUM(Empresas!D$17:D28)/SUM(Empresas!D$5:D16)-1</f>
        <v>0.15619432526777244</v>
      </c>
      <c r="E28" s="23">
        <f>SUM(Empresas!E$17:E28)/SUM(Empresas!E$5:E16)-1</f>
        <v>9.0321809918555207E-2</v>
      </c>
      <c r="F28" s="23">
        <f>SUM(Empresas!F$17:F28)/SUM(Empresas!F$5:F16)-1</f>
        <v>7.3493321799522171E-2</v>
      </c>
      <c r="G28" s="23">
        <f>SUM(Empresas!G$17:G28)/SUM(Empresas!G$5:G16)-1</f>
        <v>7.6398908718899206E-2</v>
      </c>
      <c r="H28" s="23">
        <f>SUM(Empresas!H$17:H28)/SUM(Empresas!H$5:H16)-1</f>
        <v>0.10873178638099357</v>
      </c>
      <c r="I28" s="23">
        <f>SUM(Empresas!I$17:I28)/SUM(Empresas!I$5:I16)-1</f>
        <v>2.0477602600540212E-2</v>
      </c>
      <c r="J28" s="23">
        <f>SUM(Empresas!J$17:J28)/SUM(Empresas!J$5:J16)-1</f>
        <v>0.10280642724254152</v>
      </c>
      <c r="K28" s="23">
        <f>SUM(Empresas!K$17:K28)/SUM(Empresas!K$5:K16)-1</f>
        <v>8.0125504402802639E-2</v>
      </c>
      <c r="L28" s="23">
        <f>SUM(Empresas!L$17:L28)/SUM(Empresas!L$5:L16)-1</f>
        <v>9.1167870802561835E-2</v>
      </c>
      <c r="M28" s="23">
        <f>SUM(Empresas!M$17:M28)/SUM(Empresas!M$5:M16)-1</f>
        <v>0.21698317938142542</v>
      </c>
      <c r="N28" s="23">
        <f>SUM(Empresas!N$17:N28)/SUM(Empresas!N$5:N16)-1</f>
        <v>0.16242152621433759</v>
      </c>
      <c r="O28" s="23">
        <f>SUM(Empresas!O$17:O28)/SUM(Empresas!O$5:O16)-1</f>
        <v>0.13131830701113745</v>
      </c>
      <c r="P28" s="23">
        <f>SUM(Empresas!P$17:P28)/SUM(Empresas!P$5:P16)-1</f>
        <v>0.12236487253036521</v>
      </c>
      <c r="Q28" s="23">
        <f>SUM(Empresas!Q$17:Q28)/SUM(Empresas!Q$5:Q16)-1</f>
        <v>1.5552570611174321E-2</v>
      </c>
      <c r="R28" s="23">
        <f>SUM(Empresas!R$17:R28)/SUM(Empresas!R$5:R16)-1</f>
        <v>8.27387715709067E-2</v>
      </c>
      <c r="S28" s="23">
        <f>SUM(Empresas!S$17:S28)/SUM(Empresas!S$5:S16)-1</f>
        <v>0.12213999101680817</v>
      </c>
      <c r="T28" s="23">
        <f>SUM(Empresas!T$17:T28)/SUM(Empresas!T$5:T16)-1</f>
        <v>4.642986091299206E-2</v>
      </c>
      <c r="U28" s="23">
        <f>SUM(Empresas!U$17:U28)/SUM(Empresas!U$5:U16)-1</f>
        <v>0.11406157497599012</v>
      </c>
      <c r="V28" s="23">
        <f>SUM(Empresas!V$17:V28)/SUM(Empresas!V$5:V16)-1</f>
        <v>7.0395857457199895E-2</v>
      </c>
      <c r="W28" s="23">
        <f>SUM(Empresas!W$17:W28)/SUM(Empresas!W$5:W16)-1</f>
        <v>0.19048549172054008</v>
      </c>
      <c r="X28" s="23">
        <f>SUM(Empresas!X$17:X28)/SUM(Empresas!X$5:X16)-1</f>
        <v>0.11808948382061701</v>
      </c>
      <c r="Y28" s="23">
        <f>SUM(Empresas!Y$17:Y28)/SUM(Empresas!Y$5:Y16)-1</f>
        <v>0.14526715677629154</v>
      </c>
      <c r="Z28" s="23">
        <f>SUM(Empresas!Z$17:Z28)/SUM(Empresas!Z$5:Z16)-1</f>
        <v>0.10471156248783808</v>
      </c>
      <c r="AA28" s="23">
        <f>SUM(Empresas!AA$17:AA28)/SUM(Empresas!AA$5:AA16)-1</f>
        <v>9.0950341454177908E-2</v>
      </c>
      <c r="AB28" s="24">
        <f>SUM(Empresas!AB$17:AB28)/SUM(Empresas!AB$5:AB16)-1</f>
        <v>0.14110742684227895</v>
      </c>
      <c r="AC28" s="22">
        <f>SUM(Empresas!AC$17:AC28)/SUM(Empresas!AC$5:AC16)-1</f>
        <v>8.9463471463181676E-2</v>
      </c>
      <c r="AD28" s="23">
        <f>SUM(Empresas!AD$17:AD28)/SUM(Empresas!AD$5:AD16)-1</f>
        <v>9.085976130001594E-2</v>
      </c>
      <c r="AE28" s="23">
        <f>SUM(Empresas!AE$17:AE28)/SUM(Empresas!AE$5:AE16)-1</f>
        <v>5.6643352284234227E-2</v>
      </c>
      <c r="AF28" s="23">
        <f>SUM(Empresas!AF$17:AF28)/SUM(Empresas!AF$5:AF16)-1</f>
        <v>0.1486291187394444</v>
      </c>
      <c r="AG28" s="19">
        <f>SUM(Empresas!AG$17:AG28)/SUM(Empresas!AG$5:AG16)-1</f>
        <v>9.9631626498756898E-2</v>
      </c>
      <c r="AH28" s="23">
        <f>SUM(Empresas!AH$17:AH28)/SUM(Empresas!AH$5:AH16)-1</f>
        <v>5.5983196621739895E-2</v>
      </c>
      <c r="AI28" s="24">
        <f>SUM(Empresas!AI$17:AI28)/SUM(Empresas!AI$5:AI16)-1</f>
        <v>2.776296165029235E-2</v>
      </c>
      <c r="AJ28" s="30">
        <f>SUM(Empresas!AJ$17:AJ28)/SUM(Empresas!AJ$5:AJ16)-1</f>
        <v>9.8023130776432987E-2</v>
      </c>
    </row>
    <row r="29" spans="1:36" x14ac:dyDescent="0.35">
      <c r="A29" s="7">
        <v>46023</v>
      </c>
      <c r="B29" s="25">
        <f>SUM(Empresas!B$29:B29)/SUM(Empresas!B$17:B17)-1</f>
        <v>0.17977297616709143</v>
      </c>
      <c r="C29" s="26">
        <f>SUM(Empresas!C$29:C29)/SUM(Empresas!C$17:C17)-1</f>
        <v>0.16204431315628676</v>
      </c>
      <c r="D29" s="26">
        <f>SUM(Empresas!D$29:D29)/SUM(Empresas!D$17:D17)-1</f>
        <v>0.19580823870378672</v>
      </c>
      <c r="E29" s="26">
        <f>SUM(Empresas!E$29:E29)/SUM(Empresas!E$17:E17)-1</f>
        <v>8.2676297416185207E-2</v>
      </c>
      <c r="F29" s="26">
        <f>SUM(Empresas!F$29:F29)/SUM(Empresas!F$17:F17)-1</f>
        <v>9.469482225294934E-2</v>
      </c>
      <c r="G29" s="26">
        <f>SUM(Empresas!G$29:G29)/SUM(Empresas!G$17:G17)-1</f>
        <v>5.463064642289539E-2</v>
      </c>
      <c r="H29" s="26">
        <f>SUM(Empresas!H$29:H29)/SUM(Empresas!H$17:H17)-1</f>
        <v>9.4920651190774752E-2</v>
      </c>
      <c r="I29" s="26">
        <f>SUM(Empresas!I$29:I29)/SUM(Empresas!I$17:I17)-1</f>
        <v>0.11163925200961167</v>
      </c>
      <c r="J29" s="26">
        <f>SUM(Empresas!J$29:J29)/SUM(Empresas!J$17:J17)-1</f>
        <v>0.10033386653235321</v>
      </c>
      <c r="K29" s="26">
        <f>SUM(Empresas!K$29:K29)/SUM(Empresas!K$17:K17)-1</f>
        <v>0.10975934718783575</v>
      </c>
      <c r="L29" s="26">
        <f>SUM(Empresas!L$29:L29)/SUM(Empresas!L$17:L17)-1</f>
        <v>0.13410774680923732</v>
      </c>
      <c r="M29" s="26">
        <f>SUM(Empresas!M$29:M29)/SUM(Empresas!M$17:M17)-1</f>
        <v>0.27865510731684928</v>
      </c>
      <c r="N29" s="26">
        <f>SUM(Empresas!N$29:N29)/SUM(Empresas!N$17:N17)-1</f>
        <v>0.1566138391764833</v>
      </c>
      <c r="O29" s="26">
        <f>SUM(Empresas!O$29:O29)/SUM(Empresas!O$17:O17)-1</f>
        <v>8.0518212213149365E-2</v>
      </c>
      <c r="P29" s="26">
        <f>SUM(Empresas!P$29:P29)/SUM(Empresas!P$17:P17)-1</f>
        <v>0.27547864799341748</v>
      </c>
      <c r="Q29" s="26">
        <f>SUM(Empresas!Q$29:Q29)/SUM(Empresas!Q$17:Q17)-1</f>
        <v>0.12507061870027902</v>
      </c>
      <c r="R29" s="26">
        <f>SUM(Empresas!R$29:R29)/SUM(Empresas!R$17:R17)-1</f>
        <v>0.19066366591993544</v>
      </c>
      <c r="S29" s="26">
        <f>SUM(Empresas!S$29:S29)/SUM(Empresas!S$17:S17)-1</f>
        <v>8.898495731102285E-2</v>
      </c>
      <c r="T29" s="26">
        <f>SUM(Empresas!T$29:T29)/SUM(Empresas!T$17:T17)-1</f>
        <v>8.6970281592274379E-2</v>
      </c>
      <c r="U29" s="26">
        <f>SUM(Empresas!U$29:U29)/SUM(Empresas!U$17:U17)-1</f>
        <v>2.3259528959399978E-2</v>
      </c>
      <c r="V29" s="26">
        <f>SUM(Empresas!V$29:V29)/SUM(Empresas!V$17:V17)-1</f>
        <v>0.13948377468761097</v>
      </c>
      <c r="W29" s="26">
        <f>SUM(Empresas!W$29:W29)/SUM(Empresas!W$17:W17)-1</f>
        <v>0.27576695868091372</v>
      </c>
      <c r="X29" s="26">
        <f>SUM(Empresas!X$29:X29)/SUM(Empresas!X$17:X17)-1</f>
        <v>8.398572221664824E-2</v>
      </c>
      <c r="Y29" s="26">
        <f>SUM(Empresas!Y$29:Y29)/SUM(Empresas!Y$17:Y17)-1</f>
        <v>0.11926810665196563</v>
      </c>
      <c r="Z29" s="26">
        <f>SUM(Empresas!Z$29:Z29)/SUM(Empresas!Z$17:Z17)-1</f>
        <v>9.0466534855322411E-2</v>
      </c>
      <c r="AA29" s="26">
        <f>SUM(Empresas!AA$29:AA29)/SUM(Empresas!AA$17:AA17)-1</f>
        <v>0.10368708029589113</v>
      </c>
      <c r="AB29" s="26">
        <f>SUM(Empresas!AB$29:AB29)/SUM(Empresas!AB$17:AB17)-1</f>
        <v>0.13181101016335472</v>
      </c>
      <c r="AC29" s="25">
        <f>SUM(Empresas!AC$29:AC29)/SUM(Empresas!AC$17:AC17)-1</f>
        <v>0.20615905245346489</v>
      </c>
      <c r="AD29" s="20">
        <f>SUM(Empresas!AD$29:AD29)/SUM(Empresas!AD$17:AD17)-1</f>
        <v>0.10081451868863778</v>
      </c>
      <c r="AE29" s="20">
        <f>SUM(Empresas!AE$29:AE29)/SUM(Empresas!AE$17:AE17)-1</f>
        <v>6.1424639577177587E-2</v>
      </c>
      <c r="AF29" s="20">
        <f>SUM(Empresas!AF$29:AF29)/SUM(Empresas!AF$17:AF17)-1</f>
        <v>0.16746483922524025</v>
      </c>
      <c r="AG29" s="25">
        <f>SUM(Empresas!AG$29:AG29)/SUM(Empresas!AG$17:AG17)-1</f>
        <v>0.11268598610634939</v>
      </c>
      <c r="AH29" s="26">
        <f>SUM(Empresas!AH$29:AH29)/SUM(Empresas!AH$17:AH17)-1</f>
        <v>6.3100451459999318E-2</v>
      </c>
      <c r="AI29" s="27">
        <f>SUM(Empresas!AI$29:AI29)/SUM(Empresas!AI$17:AI17)-1</f>
        <v>8.3885613522025615E-2</v>
      </c>
      <c r="AJ29" s="28">
        <f>SUM(Empresas!AJ$29:AJ29)/SUM(Empresas!AJ$17:AJ17)-1</f>
        <v>0.11146138390831517</v>
      </c>
    </row>
    <row r="30" spans="1:36" x14ac:dyDescent="0.35">
      <c r="A30" s="11">
        <v>46054</v>
      </c>
      <c r="B30" s="19">
        <f>SUM(Empresas!B$29:B30)/SUM(Empresas!B$17:B18)-1</f>
        <v>0.18672981917418929</v>
      </c>
      <c r="C30" s="20">
        <f>SUM(Empresas!C$29:C30)/SUM(Empresas!C$17:C18)-1</f>
        <v>0.16334258884039476</v>
      </c>
      <c r="D30" s="20">
        <f>SUM(Empresas!D$29:D30)/SUM(Empresas!D$17:D18)-1</f>
        <v>0.20519048942447893</v>
      </c>
      <c r="E30" s="20">
        <f>SUM(Empresas!E$29:E30)/SUM(Empresas!E$17:E18)-1</f>
        <v>0.11652730543432033</v>
      </c>
      <c r="F30" s="20">
        <f>SUM(Empresas!F$29:F30)/SUM(Empresas!F$17:F18)-1</f>
        <v>9.5352141593705531E-2</v>
      </c>
      <c r="G30" s="20">
        <f>SUM(Empresas!G$29:G30)/SUM(Empresas!G$17:G18)-1</f>
        <v>6.4774785018724357E-2</v>
      </c>
      <c r="H30" s="20">
        <f>SUM(Empresas!H$29:H30)/SUM(Empresas!H$17:H18)-1</f>
        <v>0.11759393513315031</v>
      </c>
      <c r="I30" s="20">
        <f>SUM(Empresas!I$29:I30)/SUM(Empresas!I$17:I18)-1</f>
        <v>9.0403063760262192E-2</v>
      </c>
      <c r="J30" s="20">
        <f>SUM(Empresas!J$29:J30)/SUM(Empresas!J$17:J18)-1</f>
        <v>0.12288575210739627</v>
      </c>
      <c r="K30" s="20">
        <f>SUM(Empresas!K$29:K30)/SUM(Empresas!K$17:K18)-1</f>
        <v>9.5761038789559993E-2</v>
      </c>
      <c r="L30" s="20">
        <f>SUM(Empresas!L$29:L30)/SUM(Empresas!L$17:L18)-1</f>
        <v>0.13146167221774019</v>
      </c>
      <c r="M30" s="20">
        <f>SUM(Empresas!M$29:M30)/SUM(Empresas!M$17:M18)-1</f>
        <v>0.3037828005407015</v>
      </c>
      <c r="N30" s="20">
        <f>SUM(Empresas!N$29:N30)/SUM(Empresas!N$17:N18)-1</f>
        <v>0.2002851706465536</v>
      </c>
      <c r="O30" s="20">
        <f>SUM(Empresas!O$29:O30)/SUM(Empresas!O$17:O18)-1</f>
        <v>9.860900491051483E-2</v>
      </c>
      <c r="P30" s="20">
        <f>SUM(Empresas!P$29:P30)/SUM(Empresas!P$17:P18)-1</f>
        <v>0.24777958299690783</v>
      </c>
      <c r="Q30" s="20">
        <f>SUM(Empresas!Q$29:Q30)/SUM(Empresas!Q$17:Q18)-1</f>
        <v>0.14501145742478982</v>
      </c>
      <c r="R30" s="20">
        <f>SUM(Empresas!R$29:R30)/SUM(Empresas!R$17:R18)-1</f>
        <v>0.1328006297230373</v>
      </c>
      <c r="S30" s="20">
        <f>SUM(Empresas!S$29:S30)/SUM(Empresas!S$17:S18)-1</f>
        <v>0.11026178121621499</v>
      </c>
      <c r="T30" s="20">
        <f>SUM(Empresas!T$29:T30)/SUM(Empresas!T$17:T18)-1</f>
        <v>7.1617530850102362E-2</v>
      </c>
      <c r="U30" s="20">
        <f>SUM(Empresas!U$29:U30)/SUM(Empresas!U$17:U18)-1</f>
        <v>5.5974440902967215E-2</v>
      </c>
      <c r="V30" s="20">
        <f>SUM(Empresas!V$29:V30)/SUM(Empresas!V$17:V18)-1</f>
        <v>0.13231597492826208</v>
      </c>
      <c r="W30" s="20">
        <f>SUM(Empresas!W$29:W30)/SUM(Empresas!W$17:W18)-1</f>
        <v>0.26180700635219845</v>
      </c>
      <c r="X30" s="20">
        <f>SUM(Empresas!X$29:X30)/SUM(Empresas!X$17:X18)-1</f>
        <v>0.10745889695714328</v>
      </c>
      <c r="Y30" s="20">
        <f>SUM(Empresas!Y$29:Y30)/SUM(Empresas!Y$17:Y18)-1</f>
        <v>3.4496022633958345E-2</v>
      </c>
      <c r="Z30" s="20">
        <f>SUM(Empresas!Z$29:Z30)/SUM(Empresas!Z$17:Z18)-1</f>
        <v>8.1799529481252131E-2</v>
      </c>
      <c r="AA30" s="20">
        <f>SUM(Empresas!AA$29:AA30)/SUM(Empresas!AA$17:AA18)-1</f>
        <v>8.9542225629963168E-2</v>
      </c>
      <c r="AB30" s="21">
        <f>SUM(Empresas!AB$29:AB30)/SUM(Empresas!AB$17:AB18)-1</f>
        <v>0.15692240402278235</v>
      </c>
      <c r="AC30" s="19">
        <f>SUM(Empresas!AC$29:AC30)/SUM(Empresas!AC$17:AC18)-1</f>
        <v>0.19182219205972384</v>
      </c>
      <c r="AD30" s="20">
        <f>SUM(Empresas!AD$29:AD30)/SUM(Empresas!AD$17:AD18)-1</f>
        <v>8.5009226117696235E-2</v>
      </c>
      <c r="AE30" s="20">
        <f>SUM(Empresas!AE$29:AE30)/SUM(Empresas!AE$17:AE18)-1</f>
        <v>5.6702409792586561E-2</v>
      </c>
      <c r="AF30" s="20">
        <f>SUM(Empresas!AF$29:AF30)/SUM(Empresas!AF$17:AF18)-1</f>
        <v>0.16518683371481746</v>
      </c>
      <c r="AG30" s="19">
        <f>SUM(Empresas!AG$29:AG30)/SUM(Empresas!AG$17:AG18)-1</f>
        <v>0.10591551328766236</v>
      </c>
      <c r="AH30" s="20">
        <f>SUM(Empresas!AH$29:AH30)/SUM(Empresas!AH$17:AH18)-1</f>
        <v>8.4340714641225389E-2</v>
      </c>
      <c r="AI30" s="21">
        <f>SUM(Empresas!AI$29:AI30)/SUM(Empresas!AI$17:AI18)-1</f>
        <v>0.12865214943680914</v>
      </c>
      <c r="AJ30" s="29">
        <f>SUM(Empresas!AJ$29:AJ30)/SUM(Empresas!AJ$17:AJ18)-1</f>
        <v>0.1056939989185206</v>
      </c>
    </row>
    <row r="31" spans="1:36" x14ac:dyDescent="0.35">
      <c r="A31" s="11">
        <v>46082</v>
      </c>
      <c r="B31" s="19">
        <f>SUM(Empresas!B$29:B31)/SUM(Empresas!B$17:B19)-1</f>
        <v>0.18552015192013638</v>
      </c>
      <c r="C31" s="20">
        <f>SUM(Empresas!C$29:C31)/SUM(Empresas!C$17:C19)-1</f>
        <v>0.18068377000459734</v>
      </c>
      <c r="D31" s="20">
        <f>SUM(Empresas!D$29:D31)/SUM(Empresas!D$17:D19)-1</f>
        <v>0.23288849984713678</v>
      </c>
      <c r="E31" s="20">
        <f>SUM(Empresas!E$29:E31)/SUM(Empresas!E$17:E19)-1</f>
        <v>0.13846260467195948</v>
      </c>
      <c r="F31" s="20">
        <f>SUM(Empresas!F$29:F31)/SUM(Empresas!F$17:F19)-1</f>
        <v>0.11661933227254551</v>
      </c>
      <c r="G31" s="20">
        <f>SUM(Empresas!G$29:G31)/SUM(Empresas!G$17:G19)-1</f>
        <v>0.10803598296561057</v>
      </c>
      <c r="H31" s="20">
        <f>SUM(Empresas!H$29:H31)/SUM(Empresas!H$17:H19)-1</f>
        <v>0.13585888777377386</v>
      </c>
      <c r="I31" s="20">
        <f>SUM(Empresas!I$29:I31)/SUM(Empresas!I$17:I19)-1</f>
        <v>0.11610142716824745</v>
      </c>
      <c r="J31" s="20">
        <f>SUM(Empresas!J$29:J31)/SUM(Empresas!J$17:J19)-1</f>
        <v>0.14267076544789847</v>
      </c>
      <c r="K31" s="20">
        <f>SUM(Empresas!K$29:K31)/SUM(Empresas!K$17:K19)-1</f>
        <v>0.11792864858522578</v>
      </c>
      <c r="L31" s="20">
        <f>SUM(Empresas!L$29:L31)/SUM(Empresas!L$17:L19)-1</f>
        <v>0.14691479999180501</v>
      </c>
      <c r="M31" s="20">
        <f>SUM(Empresas!M$29:M31)/SUM(Empresas!M$17:M19)-1</f>
        <v>0.28106141285345276</v>
      </c>
      <c r="N31" s="20">
        <f>SUM(Empresas!N$29:N31)/SUM(Empresas!N$17:N19)-1</f>
        <v>0.17239585068906016</v>
      </c>
      <c r="O31" s="20">
        <f>SUM(Empresas!O$29:O31)/SUM(Empresas!O$17:O19)-1</f>
        <v>0.10835922836552658</v>
      </c>
      <c r="P31" s="20">
        <f>SUM(Empresas!P$29:P31)/SUM(Empresas!P$17:P19)-1</f>
        <v>0.25404612746149113</v>
      </c>
      <c r="Q31" s="20">
        <f>SUM(Empresas!Q$29:Q31)/SUM(Empresas!Q$17:Q19)-1</f>
        <v>0.16693242466581526</v>
      </c>
      <c r="R31" s="20">
        <f>SUM(Empresas!R$29:R31)/SUM(Empresas!R$17:R19)-1</f>
        <v>0.13796026562031516</v>
      </c>
      <c r="S31" s="20">
        <f>SUM(Empresas!S$29:S31)/SUM(Empresas!S$17:S19)-1</f>
        <v>9.8327560565862226E-2</v>
      </c>
      <c r="T31" s="20">
        <f>SUM(Empresas!T$29:T31)/SUM(Empresas!T$17:T19)-1</f>
        <v>9.5958415503458516E-2</v>
      </c>
      <c r="U31" s="20">
        <f>SUM(Empresas!U$29:U31)/SUM(Empresas!U$17:U19)-1</f>
        <v>4.7071859413990058E-2</v>
      </c>
      <c r="V31" s="20">
        <f>SUM(Empresas!V$29:V31)/SUM(Empresas!V$17:V19)-1</f>
        <v>0.12327544915652755</v>
      </c>
      <c r="W31" s="20">
        <f>SUM(Empresas!W$29:W31)/SUM(Empresas!W$17:W19)-1</f>
        <v>0.28370140933823951</v>
      </c>
      <c r="X31" s="20">
        <f>SUM(Empresas!X$29:X31)/SUM(Empresas!X$17:X19)-1</f>
        <v>7.8993744843345093E-2</v>
      </c>
      <c r="Y31" s="20">
        <f>SUM(Empresas!Y$29:Y31)/SUM(Empresas!Y$17:Y19)-1</f>
        <v>4.7694270261791072E-3</v>
      </c>
      <c r="Z31" s="20">
        <f>SUM(Empresas!Z$29:Z31)/SUM(Empresas!Z$17:Z19)-1</f>
        <v>9.4039945479477582E-2</v>
      </c>
      <c r="AA31" s="20">
        <f>SUM(Empresas!AA$29:AA31)/SUM(Empresas!AA$17:AA19)-1</f>
        <v>0.10289319928997087</v>
      </c>
      <c r="AB31" s="21">
        <f>SUM(Empresas!AB$29:AB31)/SUM(Empresas!AB$17:AB19)-1</f>
        <v>0.15844006289982726</v>
      </c>
      <c r="AC31" s="19">
        <f>SUM(Empresas!AC$29:AC31)/SUM(Empresas!AC$17:AC19)-1</f>
        <v>0.20802133784672261</v>
      </c>
      <c r="AD31" s="20">
        <f>SUM(Empresas!AD$29:AD31)/SUM(Empresas!AD$17:AD19)-1</f>
        <v>8.3441809025613267E-2</v>
      </c>
      <c r="AE31" s="20">
        <f>SUM(Empresas!AE$29:AE31)/SUM(Empresas!AE$17:AE19)-1</f>
        <v>7.2335588260090677E-2</v>
      </c>
      <c r="AF31" s="20">
        <f>SUM(Empresas!AF$29:AF31)/SUM(Empresas!AF$17:AF19)-1</f>
        <v>0.16031968447224765</v>
      </c>
      <c r="AG31" s="19">
        <f>SUM(Empresas!AG$29:AG31)/SUM(Empresas!AG$17:AG19)-1</f>
        <v>0.1116562508830794</v>
      </c>
      <c r="AH31" s="20">
        <f>SUM(Empresas!AH$29:AH31)/SUM(Empresas!AH$17:AH19)-1</f>
        <v>5.990285839784959E-2</v>
      </c>
      <c r="AI31" s="21">
        <f>SUM(Empresas!AI$29:AI31)/SUM(Empresas!AI$17:AI19)-1</f>
        <v>0.11533975952108166</v>
      </c>
      <c r="AJ31" s="29">
        <f>SUM(Empresas!AJ$29:AJ31)/SUM(Empresas!AJ$17:AJ19)-1</f>
        <v>0.11063325056025275</v>
      </c>
    </row>
    <row r="32" spans="1:36" x14ac:dyDescent="0.35">
      <c r="A32" s="11">
        <v>46113</v>
      </c>
      <c r="B32" s="19">
        <f>SUM(Empresas!B$29:B32)/SUM(Empresas!B$17:B20)-1</f>
        <v>0.14665723204581615</v>
      </c>
      <c r="C32" s="20">
        <f>SUM(Empresas!C$29:C32)/SUM(Empresas!C$17:C20)-1</f>
        <v>0.15890587083450636</v>
      </c>
      <c r="D32" s="20">
        <f>SUM(Empresas!D$29:D32)/SUM(Empresas!D$17:D20)-1</f>
        <v>0.20399382331569904</v>
      </c>
      <c r="E32" s="20">
        <f>SUM(Empresas!E$29:E32)/SUM(Empresas!E$17:E20)-1</f>
        <v>0.11278531708591366</v>
      </c>
      <c r="F32" s="20">
        <f>SUM(Empresas!F$29:F32)/SUM(Empresas!F$17:F20)-1</f>
        <v>0.10401339730706449</v>
      </c>
      <c r="G32" s="20">
        <f>SUM(Empresas!G$29:G32)/SUM(Empresas!G$17:G20)-1</f>
        <v>0.10610290269213274</v>
      </c>
      <c r="H32" s="20">
        <f>SUM(Empresas!H$29:H32)/SUM(Empresas!H$17:H20)-1</f>
        <v>9.6506048490855312E-2</v>
      </c>
      <c r="I32" s="20">
        <f>SUM(Empresas!I$29:I32)/SUM(Empresas!I$17:I20)-1</f>
        <v>8.1787283198633487E-2</v>
      </c>
      <c r="J32" s="20">
        <f>SUM(Empresas!J$29:J32)/SUM(Empresas!J$17:J20)-1</f>
        <v>0.12400857564520562</v>
      </c>
      <c r="K32" s="20">
        <f>SUM(Empresas!K$29:K32)/SUM(Empresas!K$17:K20)-1</f>
        <v>0.10452455303845198</v>
      </c>
      <c r="L32" s="20">
        <f>SUM(Empresas!L$29:L32)/SUM(Empresas!L$17:L20)-1</f>
        <v>0.12761680841637357</v>
      </c>
      <c r="M32" s="20">
        <f>SUM(Empresas!M$29:M32)/SUM(Empresas!M$17:M20)-1</f>
        <v>0.24876489033017535</v>
      </c>
      <c r="N32" s="20">
        <f>SUM(Empresas!N$29:N32)/SUM(Empresas!N$17:N20)-1</f>
        <v>0.15605385552436868</v>
      </c>
      <c r="O32" s="20">
        <f>SUM(Empresas!O$29:O32)/SUM(Empresas!O$17:O20)-1</f>
        <v>9.8318017974524441E-2</v>
      </c>
      <c r="P32" s="20">
        <f>SUM(Empresas!P$29:P32)/SUM(Empresas!P$17:P20)-1</f>
        <v>0.23082569101936534</v>
      </c>
      <c r="Q32" s="20">
        <f>SUM(Empresas!Q$29:Q32)/SUM(Empresas!Q$17:Q20)-1</f>
        <v>0.15051993739595537</v>
      </c>
      <c r="R32" s="20">
        <f>SUM(Empresas!R$29:R32)/SUM(Empresas!R$17:R20)-1</f>
        <v>0.12405037877063863</v>
      </c>
      <c r="S32" s="20">
        <f>SUM(Empresas!S$29:S32)/SUM(Empresas!S$17:S20)-1</f>
        <v>9.5348036255036961E-2</v>
      </c>
      <c r="T32" s="20">
        <f>SUM(Empresas!T$29:T32)/SUM(Empresas!T$17:T20)-1</f>
        <v>2.0389693878148041E-2</v>
      </c>
      <c r="U32" s="20">
        <f>SUM(Empresas!U$29:U32)/SUM(Empresas!U$17:U20)-1</f>
        <v>4.4632278202752618E-2</v>
      </c>
      <c r="V32" s="20">
        <f>SUM(Empresas!V$29:V32)/SUM(Empresas!V$17:V20)-1</f>
        <v>0.11100853606844785</v>
      </c>
      <c r="W32" s="20">
        <f>SUM(Empresas!W$29:W32)/SUM(Empresas!W$17:W20)-1</f>
        <v>0.2475171532099707</v>
      </c>
      <c r="X32" s="20">
        <f>SUM(Empresas!X$29:X32)/SUM(Empresas!X$17:X20)-1</f>
        <v>5.7795811094892624E-2</v>
      </c>
      <c r="Y32" s="20">
        <f>SUM(Empresas!Y$29:Y32)/SUM(Empresas!Y$17:Y20)-1</f>
        <v>2.073709638613197E-2</v>
      </c>
      <c r="Z32" s="20">
        <f>SUM(Empresas!Z$29:Z32)/SUM(Empresas!Z$17:Z20)-1</f>
        <v>8.3881907435728653E-2</v>
      </c>
      <c r="AA32" s="20">
        <f>SUM(Empresas!AA$29:AA32)/SUM(Empresas!AA$17:AA20)-1</f>
        <v>9.8114200927752027E-2</v>
      </c>
      <c r="AB32" s="21">
        <f>SUM(Empresas!AB$29:AB32)/SUM(Empresas!AB$17:AB20)-1</f>
        <v>0.14457930823059062</v>
      </c>
      <c r="AC32" s="19">
        <f>SUM(Empresas!AC$29:AC32)/SUM(Empresas!AC$17:AC20)-1</f>
        <v>0.18873180759629804</v>
      </c>
      <c r="AD32" s="20">
        <f>SUM(Empresas!AD$29:AD32)/SUM(Empresas!AD$17:AD20)-1</f>
        <v>6.9107238008212724E-2</v>
      </c>
      <c r="AE32" s="20">
        <f>SUM(Empresas!AE$29:AE32)/SUM(Empresas!AE$17:AE20)-1</f>
        <v>6.1512871107671119E-2</v>
      </c>
      <c r="AF32" s="20">
        <f>SUM(Empresas!AF$29:AF32)/SUM(Empresas!AF$17:AF20)-1</f>
        <v>0.14258495102356639</v>
      </c>
      <c r="AG32" s="19">
        <f>SUM(Empresas!AG$29:AG32)/SUM(Empresas!AG$17:AG20)-1</f>
        <v>9.7393696005684927E-2</v>
      </c>
      <c r="AH32" s="20">
        <f>SUM(Empresas!AH$29:AH32)/SUM(Empresas!AH$17:AH20)-1</f>
        <v>4.7912871837342275E-2</v>
      </c>
      <c r="AI32" s="21">
        <f>SUM(Empresas!AI$29:AI32)/SUM(Empresas!AI$17:AI20)-1</f>
        <v>9.8427938614311872E-2</v>
      </c>
      <c r="AJ32" s="29">
        <f>SUM(Empresas!AJ$29:AJ32)/SUM(Empresas!AJ$17:AJ20)-1</f>
        <v>9.6385974928687945E-2</v>
      </c>
    </row>
    <row r="33" spans="1:36" x14ac:dyDescent="0.35">
      <c r="A33" s="11">
        <v>46143</v>
      </c>
      <c r="B33" s="19">
        <f>SUM(Empresas!B$29:B33)/SUM(Empresas!B$17:B21)-1</f>
        <v>9.4650257510490166E-2</v>
      </c>
      <c r="C33" s="20">
        <f>SUM(Empresas!C$29:C33)/SUM(Empresas!C$17:C21)-1</f>
        <v>0.12426404054535811</v>
      </c>
      <c r="D33" s="20">
        <f>SUM(Empresas!D$29:D33)/SUM(Empresas!D$17:D21)-1</f>
        <v>0.15973701046477062</v>
      </c>
      <c r="E33" s="20">
        <f>SUM(Empresas!E$29:E33)/SUM(Empresas!E$17:E21)-1</f>
        <v>9.1432657822944519E-2</v>
      </c>
      <c r="F33" s="20">
        <f>SUM(Empresas!F$29:F33)/SUM(Empresas!F$17:F21)-1</f>
        <v>8.1378611604376205E-2</v>
      </c>
      <c r="G33" s="20">
        <f>SUM(Empresas!G$29:G33)/SUM(Empresas!G$17:G21)-1</f>
        <v>8.8137049540962353E-2</v>
      </c>
      <c r="H33" s="20">
        <f>SUM(Empresas!H$29:H33)/SUM(Empresas!H$17:H21)-1</f>
        <v>7.526210172202763E-2</v>
      </c>
      <c r="I33" s="20">
        <f>SUM(Empresas!I$29:I33)/SUM(Empresas!I$17:I21)-1</f>
        <v>4.2263685599821743E-2</v>
      </c>
      <c r="J33" s="20">
        <f>SUM(Empresas!J$29:J33)/SUM(Empresas!J$17:J21)-1</f>
        <v>9.4137147089265127E-2</v>
      </c>
      <c r="K33" s="20">
        <f>SUM(Empresas!K$29:K33)/SUM(Empresas!K$17:K21)-1</f>
        <v>8.4578913221490692E-2</v>
      </c>
      <c r="L33" s="20">
        <f>SUM(Empresas!L$29:L33)/SUM(Empresas!L$17:L21)-1</f>
        <v>0.10417575399836543</v>
      </c>
      <c r="M33" s="20">
        <f>SUM(Empresas!M$29:M33)/SUM(Empresas!M$17:M21)-1</f>
        <v>0.21731799216010872</v>
      </c>
      <c r="N33" s="20">
        <f>SUM(Empresas!N$29:N33)/SUM(Empresas!N$17:N21)-1</f>
        <v>0.11377205564800241</v>
      </c>
      <c r="O33" s="20">
        <f>SUM(Empresas!O$29:O33)/SUM(Empresas!O$17:O21)-1</f>
        <v>6.8560655696104034E-2</v>
      </c>
      <c r="P33" s="20">
        <f>SUM(Empresas!P$29:P33)/SUM(Empresas!P$17:P21)-1</f>
        <v>0.22089455935573521</v>
      </c>
      <c r="Q33" s="20">
        <f>SUM(Empresas!Q$29:Q33)/SUM(Empresas!Q$17:Q21)-1</f>
        <v>0.12596055385082594</v>
      </c>
      <c r="R33" s="20">
        <f>SUM(Empresas!R$29:R33)/SUM(Empresas!R$17:R21)-1</f>
        <v>0.10111116408672638</v>
      </c>
      <c r="S33" s="20">
        <f>SUM(Empresas!S$29:S33)/SUM(Empresas!S$17:S21)-1</f>
        <v>8.4625420719974143E-2</v>
      </c>
      <c r="T33" s="20">
        <f>SUM(Empresas!T$29:T33)/SUM(Empresas!T$17:T21)-1</f>
        <v>-3.5505938816159599E-2</v>
      </c>
      <c r="U33" s="20">
        <f>SUM(Empresas!U$29:U33)/SUM(Empresas!U$17:U21)-1</f>
        <v>2.8660608499869511E-2</v>
      </c>
      <c r="V33" s="20">
        <f>SUM(Empresas!V$29:V33)/SUM(Empresas!V$17:V21)-1</f>
        <v>8.7788329246879515E-2</v>
      </c>
      <c r="W33" s="20">
        <f>SUM(Empresas!W$29:W33)/SUM(Empresas!W$17:W21)-1</f>
        <v>0.20798959738263134</v>
      </c>
      <c r="X33" s="20">
        <f>SUM(Empresas!X$29:X33)/SUM(Empresas!X$17:X21)-1</f>
        <v>4.1524145265444901E-2</v>
      </c>
      <c r="Y33" s="20">
        <f>SUM(Empresas!Y$29:Y33)/SUM(Empresas!Y$17:Y21)-1</f>
        <v>1.9621704254570105E-2</v>
      </c>
      <c r="Z33" s="20">
        <f>SUM(Empresas!Z$29:Z33)/SUM(Empresas!Z$17:Z21)-1</f>
        <v>7.2982669996001226E-2</v>
      </c>
      <c r="AA33" s="20">
        <f>SUM(Empresas!AA$29:AA33)/SUM(Empresas!AA$17:AA21)-1</f>
        <v>8.9958934299595006E-2</v>
      </c>
      <c r="AB33" s="21">
        <f>SUM(Empresas!AB$29:AB33)/SUM(Empresas!AB$17:AB21)-1</f>
        <v>0.11507506762885411</v>
      </c>
      <c r="AC33" s="19">
        <f>SUM(Empresas!AC$29:AC33)/SUM(Empresas!AC$17:AC21)-1</f>
        <v>0.1616395053822417</v>
      </c>
      <c r="AD33" s="20">
        <f>SUM(Empresas!AD$29:AD33)/SUM(Empresas!AD$17:AD21)-1</f>
        <v>5.3357310214562581E-2</v>
      </c>
      <c r="AE33" s="20">
        <f>SUM(Empresas!AE$29:AE33)/SUM(Empresas!AE$17:AE21)-1</f>
        <v>4.1682698681125174E-2</v>
      </c>
      <c r="AF33" s="20">
        <f>SUM(Empresas!AF$29:AF33)/SUM(Empresas!AF$17:AF21)-1</f>
        <v>0.12210098541031167</v>
      </c>
      <c r="AG33" s="19">
        <f>SUM(Empresas!AG$29:AG33)/SUM(Empresas!AG$17:AG21)-1</f>
        <v>7.7484924021773871E-2</v>
      </c>
      <c r="AH33" s="20">
        <f>SUM(Empresas!AH$29:AH33)/SUM(Empresas!AH$17:AH21)-1</f>
        <v>4.3763076987174854E-2</v>
      </c>
      <c r="AI33" s="21">
        <f>SUM(Empresas!AI$29:AI33)/SUM(Empresas!AI$17:AI21)-1</f>
        <v>9.2651153661906571E-2</v>
      </c>
      <c r="AJ33" s="29">
        <f>SUM(Empresas!AJ$29:AJ33)/SUM(Empresas!AJ$17:AJ21)-1</f>
        <v>7.6938252086016901E-2</v>
      </c>
    </row>
    <row r="34" spans="1:36" x14ac:dyDescent="0.35">
      <c r="A34" s="11">
        <v>46174</v>
      </c>
      <c r="B34" s="19">
        <f>SUM(Empresas!B$29:B34)/SUM(Empresas!B$17:B22)-1</f>
        <v>7.2652030767183629E-2</v>
      </c>
      <c r="C34" s="20">
        <f>SUM(Empresas!C$29:C34)/SUM(Empresas!C$17:C22)-1</f>
        <v>0.11670389658831937</v>
      </c>
      <c r="D34" s="20">
        <f>SUM(Empresas!D$29:D34)/SUM(Empresas!D$17:D22)-1</f>
        <v>0.12837917819034517</v>
      </c>
      <c r="E34" s="20">
        <f>SUM(Empresas!E$29:E34)/SUM(Empresas!E$17:E22)-1</f>
        <v>7.7685626379416117E-2</v>
      </c>
      <c r="F34" s="20">
        <f>SUM(Empresas!F$29:F34)/SUM(Empresas!F$17:F22)-1</f>
        <v>7.7341511058930168E-2</v>
      </c>
      <c r="G34" s="20">
        <f>SUM(Empresas!G$29:G34)/SUM(Empresas!G$17:G22)-1</f>
        <v>8.2538171297033003E-2</v>
      </c>
      <c r="H34" s="20">
        <f>SUM(Empresas!H$29:H34)/SUM(Empresas!H$17:H22)-1</f>
        <v>7.2487827379221326E-2</v>
      </c>
      <c r="I34" s="20">
        <f>SUM(Empresas!I$29:I34)/SUM(Empresas!I$17:I22)-1</f>
        <v>3.790839172324767E-2</v>
      </c>
      <c r="J34" s="20">
        <f>SUM(Empresas!J$29:J34)/SUM(Empresas!J$17:J22)-1</f>
        <v>8.7193251341838529E-2</v>
      </c>
      <c r="K34" s="20">
        <f>SUM(Empresas!K$29:K34)/SUM(Empresas!K$17:K22)-1</f>
        <v>8.6627664510224189E-2</v>
      </c>
      <c r="L34" s="20">
        <f>SUM(Empresas!L$29:L34)/SUM(Empresas!L$17:L22)-1</f>
        <v>0.10230877684430983</v>
      </c>
      <c r="M34" s="20">
        <f>SUM(Empresas!M$29:M34)/SUM(Empresas!M$17:M22)-1</f>
        <v>0.21204510192527715</v>
      </c>
      <c r="N34" s="20">
        <f>SUM(Empresas!N$29:N34)/SUM(Empresas!N$17:N22)-1</f>
        <v>0.10195863609141376</v>
      </c>
      <c r="O34" s="20">
        <f>SUM(Empresas!O$29:O34)/SUM(Empresas!O$17:O22)-1</f>
        <v>5.7407234104003724E-2</v>
      </c>
      <c r="P34" s="20">
        <f>SUM(Empresas!P$29:P34)/SUM(Empresas!P$17:P22)-1</f>
        <v>0.19809926071800343</v>
      </c>
      <c r="Q34" s="20">
        <f>SUM(Empresas!Q$29:Q34)/SUM(Empresas!Q$17:Q22)-1</f>
        <v>0.12630021550885218</v>
      </c>
      <c r="R34" s="20">
        <f>SUM(Empresas!R$29:R34)/SUM(Empresas!R$17:R22)-1</f>
        <v>9.929716357042917E-2</v>
      </c>
      <c r="S34" s="20">
        <f>SUM(Empresas!S$29:S34)/SUM(Empresas!S$17:S22)-1</f>
        <v>8.6509310753215773E-2</v>
      </c>
      <c r="T34" s="20">
        <f>SUM(Empresas!T$29:T34)/SUM(Empresas!T$17:T22)-1</f>
        <v>-3.234901778620114E-2</v>
      </c>
      <c r="U34" s="20">
        <f>SUM(Empresas!U$29:U34)/SUM(Empresas!U$17:U22)-1</f>
        <v>3.5338727024445404E-2</v>
      </c>
      <c r="V34" s="20">
        <f>SUM(Empresas!V$29:V34)/SUM(Empresas!V$17:V22)-1</f>
        <v>8.5982805553952213E-2</v>
      </c>
      <c r="W34" s="20">
        <f>SUM(Empresas!W$29:W34)/SUM(Empresas!W$17:W22)-1</f>
        <v>0.18118779954636621</v>
      </c>
      <c r="X34" s="20">
        <f>SUM(Empresas!X$29:X34)/SUM(Empresas!X$17:X22)-1</f>
        <v>3.7172161431940465E-2</v>
      </c>
      <c r="Y34" s="20">
        <f>SUM(Empresas!Y$29:Y34)/SUM(Empresas!Y$17:Y22)-1</f>
        <v>2.911175338856764E-2</v>
      </c>
      <c r="Z34" s="20">
        <f>SUM(Empresas!Z$29:Z34)/SUM(Empresas!Z$17:Z22)-1</f>
        <v>7.4577749517165559E-2</v>
      </c>
      <c r="AA34" s="20">
        <f>SUM(Empresas!AA$29:AA34)/SUM(Empresas!AA$17:AA22)-1</f>
        <v>8.8210602207457134E-2</v>
      </c>
      <c r="AB34" s="21">
        <f>SUM(Empresas!AB$29:AB34)/SUM(Empresas!AB$17:AB22)-1</f>
        <v>9.9722160292594397E-2</v>
      </c>
      <c r="AC34" s="19">
        <f>SUM(Empresas!AC$29:AC34)/SUM(Empresas!AC$17:AC22)-1</f>
        <v>0.15933738555845034</v>
      </c>
      <c r="AD34" s="20">
        <f>SUM(Empresas!AD$29:AD34)/SUM(Empresas!AD$17:AD22)-1</f>
        <v>5.1206360146327512E-2</v>
      </c>
      <c r="AE34" s="20">
        <f>SUM(Empresas!AE$29:AE34)/SUM(Empresas!AE$17:AE22)-1</f>
        <v>3.8030923300961028E-2</v>
      </c>
      <c r="AF34" s="20">
        <f>SUM(Empresas!AF$29:AF34)/SUM(Empresas!AF$17:AF22)-1</f>
        <v>0.12175928961282434</v>
      </c>
      <c r="AG34" s="19">
        <f>SUM(Empresas!AG$29:AG34)/SUM(Empresas!AG$17:AG22)-1</f>
        <v>7.5408191668503433E-2</v>
      </c>
      <c r="AH34" s="20">
        <f>SUM(Empresas!AH$29:AH34)/SUM(Empresas!AH$17:AH22)-1</f>
        <v>4.6778584678130342E-2</v>
      </c>
      <c r="AI34" s="21">
        <f>SUM(Empresas!AI$29:AI34)/SUM(Empresas!AI$17:AI22)-1</f>
        <v>9.3892804020432541E-2</v>
      </c>
      <c r="AJ34" s="29">
        <f>SUM(Empresas!AJ$29:AJ34)/SUM(Empresas!AJ$17:AJ22)-1</f>
        <v>7.4998457981096722E-2</v>
      </c>
    </row>
    <row r="35" spans="1:36" x14ac:dyDescent="0.35">
      <c r="A35" s="11">
        <v>46204</v>
      </c>
      <c r="B35" s="19">
        <f>SUM(Empresas!B$29:B35)/SUM(Empresas!B$17:B23)-1</f>
        <v>8.7063545033075007E-2</v>
      </c>
      <c r="C35" s="20">
        <f>SUM(Empresas!C$29:C35)/SUM(Empresas!C$17:C23)-1</f>
        <v>0.13659538102394442</v>
      </c>
      <c r="D35" s="20">
        <f>SUM(Empresas!D$29:D35)/SUM(Empresas!D$17:D23)-1</f>
        <v>0.12032920306785533</v>
      </c>
      <c r="E35" s="20">
        <f>SUM(Empresas!E$29:E35)/SUM(Empresas!E$17:E23)-1</f>
        <v>0.10011956560339952</v>
      </c>
      <c r="F35" s="20">
        <f>SUM(Empresas!F$29:F35)/SUM(Empresas!F$17:F23)-1</f>
        <v>9.4764563556667625E-2</v>
      </c>
      <c r="G35" s="20">
        <f>SUM(Empresas!G$29:G35)/SUM(Empresas!G$17:G23)-1</f>
        <v>9.5479008780049446E-2</v>
      </c>
      <c r="H35" s="20">
        <f>SUM(Empresas!H$29:H35)/SUM(Empresas!H$17:H23)-1</f>
        <v>9.6079430631932361E-2</v>
      </c>
      <c r="I35" s="20">
        <f>SUM(Empresas!I$29:I35)/SUM(Empresas!I$17:I23)-1</f>
        <v>5.4470751995873812E-2</v>
      </c>
      <c r="J35" s="20">
        <f>SUM(Empresas!J$29:J35)/SUM(Empresas!J$17:J23)-1</f>
        <v>0.10523866693285977</v>
      </c>
      <c r="K35" s="20">
        <f>SUM(Empresas!K$29:K35)/SUM(Empresas!K$17:K23)-1</f>
        <v>9.5635019305187141E-2</v>
      </c>
      <c r="L35" s="20">
        <f>SUM(Empresas!L$29:L35)/SUM(Empresas!L$17:L23)-1</f>
        <v>0.11961899793217001</v>
      </c>
      <c r="M35" s="20">
        <f>SUM(Empresas!M$29:M35)/SUM(Empresas!M$17:M23)-1</f>
        <v>0.22118120042165934</v>
      </c>
      <c r="N35" s="20">
        <f>SUM(Empresas!N$29:N35)/SUM(Empresas!N$17:N23)-1</f>
        <v>0.11394385854632416</v>
      </c>
      <c r="O35" s="20">
        <f>SUM(Empresas!O$29:O35)/SUM(Empresas!O$17:O23)-1</f>
        <v>7.0239057825929763E-2</v>
      </c>
      <c r="P35" s="20">
        <f>SUM(Empresas!P$29:P35)/SUM(Empresas!P$17:P23)-1</f>
        <v>0.20279247853592008</v>
      </c>
      <c r="Q35" s="20">
        <f>SUM(Empresas!Q$29:Q35)/SUM(Empresas!Q$17:Q23)-1</f>
        <v>0.14598070071067548</v>
      </c>
      <c r="R35" s="20">
        <f>SUM(Empresas!R$29:R35)/SUM(Empresas!R$17:R23)-1</f>
        <v>0.11058600159549292</v>
      </c>
      <c r="S35" s="20">
        <f>SUM(Empresas!S$29:S35)/SUM(Empresas!S$17:S23)-1</f>
        <v>0.10100820018273282</v>
      </c>
      <c r="T35" s="20">
        <f>SUM(Empresas!T$29:T35)/SUM(Empresas!T$17:T23)-1</f>
        <v>-2.9007669555526361E-3</v>
      </c>
      <c r="U35" s="20">
        <f>SUM(Empresas!U$29:U35)/SUM(Empresas!U$17:U23)-1</f>
        <v>6.1162477539303817E-2</v>
      </c>
      <c r="V35" s="20">
        <f>SUM(Empresas!V$29:V35)/SUM(Empresas!V$17:V23)-1</f>
        <v>9.486249938693625E-2</v>
      </c>
      <c r="W35" s="20">
        <f>SUM(Empresas!W$29:W35)/SUM(Empresas!W$17:W23)-1</f>
        <v>0.18866986602813873</v>
      </c>
      <c r="X35" s="20">
        <f>SUM(Empresas!X$29:X35)/SUM(Empresas!X$17:X23)-1</f>
        <v>4.9027067286610437E-2</v>
      </c>
      <c r="Y35" s="20">
        <f>SUM(Empresas!Y$29:Y35)/SUM(Empresas!Y$17:Y23)-1</f>
        <v>4.5389966228430056E-2</v>
      </c>
      <c r="Z35" s="20">
        <f>SUM(Empresas!Z$29:Z35)/SUM(Empresas!Z$17:Z23)-1</f>
        <v>8.8720675530409743E-2</v>
      </c>
      <c r="AA35" s="20">
        <f>SUM(Empresas!AA$29:AA35)/SUM(Empresas!AA$17:AA23)-1</f>
        <v>0.10209507854330724</v>
      </c>
      <c r="AB35" s="21">
        <f>SUM(Empresas!AB$29:AB35)/SUM(Empresas!AB$17:AB23)-1</f>
        <v>0.10082550079807362</v>
      </c>
      <c r="AC35" s="19">
        <f>SUM(Empresas!AC$29:AC35)/SUM(Empresas!AC$17:AC23)-1</f>
        <v>0.15532006103017859</v>
      </c>
      <c r="AD35" s="20">
        <f>SUM(Empresas!AD$29:AD35)/SUM(Empresas!AD$17:AD23)-1</f>
        <v>6.1982096937434505E-2</v>
      </c>
      <c r="AE35" s="20">
        <f>SUM(Empresas!AE$29:AE35)/SUM(Empresas!AE$17:AE23)-1</f>
        <v>4.6178521246555748E-2</v>
      </c>
      <c r="AF35" s="20">
        <f>SUM(Empresas!AF$29:AF35)/SUM(Empresas!AF$17:AF23)-1</f>
        <v>0.14791486380043484</v>
      </c>
      <c r="AG35" s="19">
        <f>SUM(Empresas!AG$29:AG35)/SUM(Empresas!AG$17:AG23)-1</f>
        <v>9.1507615627800742E-2</v>
      </c>
      <c r="AH35" s="20">
        <f>SUM(Empresas!AH$29:AH35)/SUM(Empresas!AH$17:AH23)-1</f>
        <v>4.6072512671577526E-2</v>
      </c>
      <c r="AI35" s="21">
        <f>SUM(Empresas!AI$29:AI35)/SUM(Empresas!AI$17:AI23)-1</f>
        <v>9.2633479717034728E-2</v>
      </c>
      <c r="AJ35" s="29">
        <f>SUM(Empresas!AJ$29:AJ35)/SUM(Empresas!AJ$17:AJ23)-1</f>
        <v>9.0607132249784117E-2</v>
      </c>
    </row>
    <row r="36" spans="1:36" x14ac:dyDescent="0.35">
      <c r="A36" s="11">
        <v>46235</v>
      </c>
      <c r="B36" s="19">
        <f>SUM(Empresas!B$29:B36)/SUM(Empresas!B$17:B24)-1</f>
        <v>6.4229358423667282E-2</v>
      </c>
      <c r="C36" s="20">
        <f>SUM(Empresas!C$29:C36)/SUM(Empresas!C$17:C24)-1</f>
        <v>0.13320456786608026</v>
      </c>
      <c r="D36" s="20">
        <f>SUM(Empresas!D$29:D36)/SUM(Empresas!D$17:D24)-1</f>
        <v>9.8025620673166003E-2</v>
      </c>
      <c r="E36" s="20">
        <f>SUM(Empresas!E$29:E36)/SUM(Empresas!E$17:E24)-1</f>
        <v>8.8659004216687265E-2</v>
      </c>
      <c r="F36" s="20">
        <f>SUM(Empresas!F$29:F36)/SUM(Empresas!F$17:F24)-1</f>
        <v>9.1644658663947443E-2</v>
      </c>
      <c r="G36" s="20">
        <f>SUM(Empresas!G$29:G36)/SUM(Empresas!G$17:G24)-1</f>
        <v>8.6453684899807204E-2</v>
      </c>
      <c r="H36" s="20">
        <f>SUM(Empresas!H$29:H36)/SUM(Empresas!H$17:H24)-1</f>
        <v>9.5264548393159565E-2</v>
      </c>
      <c r="I36" s="20">
        <f>SUM(Empresas!I$29:I36)/SUM(Empresas!I$17:I24)-1</f>
        <v>5.0891762982236521E-2</v>
      </c>
      <c r="J36" s="20">
        <f>SUM(Empresas!J$29:J36)/SUM(Empresas!J$17:J24)-1</f>
        <v>9.8204898619711045E-2</v>
      </c>
      <c r="K36" s="20">
        <f>SUM(Empresas!K$29:K36)/SUM(Empresas!K$17:K24)-1</f>
        <v>8.2860286973809316E-2</v>
      </c>
      <c r="L36" s="20">
        <f>SUM(Empresas!L$29:L36)/SUM(Empresas!L$17:L24)-1</f>
        <v>0.11256558175896991</v>
      </c>
      <c r="M36" s="20">
        <f>SUM(Empresas!M$29:M36)/SUM(Empresas!M$17:M24)-1</f>
        <v>0.19054787987836219</v>
      </c>
      <c r="N36" s="20">
        <f>SUM(Empresas!N$29:N36)/SUM(Empresas!N$17:N24)-1</f>
        <v>0.10505085271786907</v>
      </c>
      <c r="O36" s="20">
        <f>SUM(Empresas!O$29:O36)/SUM(Empresas!O$17:O24)-1</f>
        <v>6.1490599302395976E-2</v>
      </c>
      <c r="P36" s="20">
        <f>SUM(Empresas!P$29:P36)/SUM(Empresas!P$17:P24)-1</f>
        <v>0.18477669984564682</v>
      </c>
      <c r="Q36" s="20">
        <f>SUM(Empresas!Q$29:Q36)/SUM(Empresas!Q$17:Q24)-1</f>
        <v>0.14219863364342156</v>
      </c>
      <c r="R36" s="20">
        <f>SUM(Empresas!R$29:R36)/SUM(Empresas!R$17:R24)-1</f>
        <v>9.5780191772923962E-2</v>
      </c>
      <c r="S36" s="20">
        <f>SUM(Empresas!S$29:S36)/SUM(Empresas!S$17:S24)-1</f>
        <v>9.7335192241171598E-2</v>
      </c>
      <c r="T36" s="20">
        <f>SUM(Empresas!T$29:T36)/SUM(Empresas!T$17:T24)-1</f>
        <v>-2.7851981306185047E-3</v>
      </c>
      <c r="U36" s="20">
        <f>SUM(Empresas!U$29:U36)/SUM(Empresas!U$17:U24)-1</f>
        <v>6.2579740934391115E-2</v>
      </c>
      <c r="V36" s="20">
        <f>SUM(Empresas!V$29:V36)/SUM(Empresas!V$17:V24)-1</f>
        <v>8.5504945976302871E-2</v>
      </c>
      <c r="W36" s="20">
        <f>SUM(Empresas!W$29:W36)/SUM(Empresas!W$17:W24)-1</f>
        <v>0.17067291218662484</v>
      </c>
      <c r="X36" s="20">
        <f>SUM(Empresas!X$29:X36)/SUM(Empresas!X$17:X24)-1</f>
        <v>3.9660957200435165E-2</v>
      </c>
      <c r="Y36" s="20">
        <f>SUM(Empresas!Y$29:Y36)/SUM(Empresas!Y$17:Y24)-1</f>
        <v>4.6036780440374736E-2</v>
      </c>
      <c r="Z36" s="20">
        <f>SUM(Empresas!Z$29:Z36)/SUM(Empresas!Z$17:Z24)-1</f>
        <v>8.950751296777848E-2</v>
      </c>
      <c r="AA36" s="20">
        <f>SUM(Empresas!AA$29:AA36)/SUM(Empresas!AA$17:AA24)-1</f>
        <v>0.10015658665694471</v>
      </c>
      <c r="AB36" s="21">
        <f>SUM(Empresas!AB$29:AB36)/SUM(Empresas!AB$17:AB24)-1</f>
        <v>8.9072633773900067E-2</v>
      </c>
      <c r="AC36" s="19">
        <f>SUM(Empresas!AC$29:AC36)/SUM(Empresas!AC$17:AC24)-1</f>
        <v>0.15295536993321646</v>
      </c>
      <c r="AD36" s="20">
        <f>SUM(Empresas!AD$29:AD36)/SUM(Empresas!AD$17:AD24)-1</f>
        <v>5.426389076296334E-2</v>
      </c>
      <c r="AE36" s="20">
        <f>SUM(Empresas!AE$29:AE36)/SUM(Empresas!AE$17:AE24)-1</f>
        <v>4.1905302619047236E-2</v>
      </c>
      <c r="AF36" s="20">
        <f>SUM(Empresas!AF$29:AF36)/SUM(Empresas!AF$17:AF24)-1</f>
        <v>0.1433903901054554</v>
      </c>
      <c r="AG36" s="19">
        <f>SUM(Empresas!AG$29:AG36)/SUM(Empresas!AG$17:AG24)-1</f>
        <v>8.6979667659646598E-2</v>
      </c>
      <c r="AH36" s="20">
        <f>SUM(Empresas!AH$29:AH36)/SUM(Empresas!AH$17:AH24)-1</f>
        <v>2.8763593757152206E-2</v>
      </c>
      <c r="AI36" s="21">
        <f>SUM(Empresas!AI$29:AI36)/SUM(Empresas!AI$17:AI24)-1</f>
        <v>8.3191556939931965E-2</v>
      </c>
      <c r="AJ36" s="29">
        <f>SUM(Empresas!AJ$29:AJ36)/SUM(Empresas!AJ$17:AJ24)-1</f>
        <v>8.5761841213078283E-2</v>
      </c>
    </row>
    <row r="37" spans="1:36" x14ac:dyDescent="0.35">
      <c r="A37" s="11">
        <v>46266</v>
      </c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19"/>
      <c r="AD37" s="20"/>
      <c r="AE37" s="20"/>
      <c r="AF37" s="20"/>
      <c r="AG37" s="19"/>
      <c r="AH37" s="20"/>
      <c r="AI37" s="21"/>
      <c r="AJ37" s="29"/>
    </row>
    <row r="38" spans="1:36" x14ac:dyDescent="0.35">
      <c r="A38" s="11">
        <v>46296</v>
      </c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1"/>
      <c r="AC38" s="19"/>
      <c r="AD38" s="20"/>
      <c r="AE38" s="20"/>
      <c r="AF38" s="20"/>
      <c r="AG38" s="19"/>
      <c r="AH38" s="20"/>
      <c r="AI38" s="21"/>
      <c r="AJ38" s="29"/>
    </row>
    <row r="39" spans="1:36" x14ac:dyDescent="0.35">
      <c r="A39" s="11">
        <v>46327</v>
      </c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19"/>
      <c r="AD39" s="20"/>
      <c r="AE39" s="20"/>
      <c r="AF39" s="20"/>
      <c r="AG39" s="19"/>
      <c r="AH39" s="20"/>
      <c r="AI39" s="21"/>
      <c r="AJ39" s="29"/>
    </row>
    <row r="40" spans="1:36" ht="15" thickBot="1" x14ac:dyDescent="0.4">
      <c r="A40" s="15">
        <v>46357</v>
      </c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4"/>
      <c r="AC40" s="22"/>
      <c r="AD40" s="23"/>
      <c r="AE40" s="23"/>
      <c r="AF40" s="23"/>
      <c r="AG40" s="22"/>
      <c r="AH40" s="23"/>
      <c r="AI40" s="24"/>
      <c r="AJ40" s="30"/>
    </row>
  </sheetData>
  <mergeCells count="4">
    <mergeCell ref="A2:AJ2"/>
    <mergeCell ref="B3:AB3"/>
    <mergeCell ref="AG3:AI3"/>
    <mergeCell ref="AC3:AF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0"/>
  <sheetViews>
    <sheetView zoomScale="90" zoomScaleNormal="90" workbookViewId="0">
      <pane xSplit="1" ySplit="4" topLeftCell="T29" activePane="bottomRight" state="frozen"/>
      <selection activeCell="A233" sqref="A233:XFD244"/>
      <selection pane="topRight" activeCell="A233" sqref="A233:XFD244"/>
      <selection pane="bottomLeft" activeCell="A233" sqref="A233:XFD244"/>
      <selection pane="bottomRight" activeCell="A2" sqref="A2:AJ2"/>
    </sheetView>
  </sheetViews>
  <sheetFormatPr defaultColWidth="9.1796875" defaultRowHeight="14.5" x14ac:dyDescent="0.35"/>
  <cols>
    <col min="1" max="1" width="19.1796875" style="1" customWidth="1"/>
    <col min="2" max="28" width="9.1796875" style="1"/>
    <col min="29" max="29" width="12.81640625" style="1" bestFit="1" customWidth="1"/>
    <col min="30" max="30" width="8.453125" style="1" bestFit="1" customWidth="1"/>
    <col min="31" max="31" width="9.6328125" style="1" bestFit="1" customWidth="1"/>
    <col min="32" max="16384" width="9.1796875" style="1"/>
  </cols>
  <sheetData>
    <row r="1" spans="1:36" ht="51.5" customHeight="1" x14ac:dyDescent="0.35"/>
    <row r="2" spans="1:36" ht="15" thickBot="1" x14ac:dyDescent="0.4">
      <c r="A2" s="40" t="s">
        <v>14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36" ht="15" thickBot="1" x14ac:dyDescent="0.4">
      <c r="B3" s="37" t="s">
        <v>42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37" t="s">
        <v>2</v>
      </c>
      <c r="AD3" s="38"/>
      <c r="AE3" s="38"/>
      <c r="AF3" s="39"/>
      <c r="AG3" s="37" t="s">
        <v>3</v>
      </c>
      <c r="AH3" s="38"/>
      <c r="AI3" s="39"/>
    </row>
    <row r="4" spans="1:36" ht="15" thickBot="1" x14ac:dyDescent="0.4">
      <c r="A4" s="2" t="s">
        <v>10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39</v>
      </c>
      <c r="Z4" s="4" t="s">
        <v>0</v>
      </c>
      <c r="AA4" s="4" t="s">
        <v>40</v>
      </c>
      <c r="AB4" s="5" t="s">
        <v>41</v>
      </c>
      <c r="AC4" s="4" t="s">
        <v>44</v>
      </c>
      <c r="AD4" s="4" t="s">
        <v>4</v>
      </c>
      <c r="AE4" s="4" t="s">
        <v>5</v>
      </c>
      <c r="AF4" s="4" t="s">
        <v>6</v>
      </c>
      <c r="AG4" s="3" t="s">
        <v>7</v>
      </c>
      <c r="AH4" s="4" t="s">
        <v>8</v>
      </c>
      <c r="AI4" s="5" t="s">
        <v>9</v>
      </c>
      <c r="AJ4" s="6" t="s">
        <v>1</v>
      </c>
    </row>
    <row r="5" spans="1:36" x14ac:dyDescent="0.35">
      <c r="A5" s="31">
        <v>45293</v>
      </c>
      <c r="B5" s="25" t="s">
        <v>15</v>
      </c>
      <c r="C5" s="26" t="s">
        <v>15</v>
      </c>
      <c r="D5" s="26" t="s">
        <v>15</v>
      </c>
      <c r="E5" s="26" t="s">
        <v>15</v>
      </c>
      <c r="F5" s="26" t="s">
        <v>15</v>
      </c>
      <c r="G5" s="26" t="s">
        <v>15</v>
      </c>
      <c r="H5" s="26" t="s">
        <v>15</v>
      </c>
      <c r="I5" s="26" t="s">
        <v>15</v>
      </c>
      <c r="J5" s="26" t="s">
        <v>15</v>
      </c>
      <c r="K5" s="26" t="s">
        <v>15</v>
      </c>
      <c r="L5" s="26" t="s">
        <v>15</v>
      </c>
      <c r="M5" s="26" t="s">
        <v>15</v>
      </c>
      <c r="N5" s="26" t="s">
        <v>15</v>
      </c>
      <c r="O5" s="26" t="s">
        <v>15</v>
      </c>
      <c r="P5" s="26" t="s">
        <v>15</v>
      </c>
      <c r="Q5" s="26" t="s">
        <v>15</v>
      </c>
      <c r="R5" s="26" t="s">
        <v>15</v>
      </c>
      <c r="S5" s="26" t="s">
        <v>15</v>
      </c>
      <c r="T5" s="26" t="s">
        <v>15</v>
      </c>
      <c r="U5" s="26" t="s">
        <v>15</v>
      </c>
      <c r="V5" s="26" t="s">
        <v>15</v>
      </c>
      <c r="W5" s="26" t="s">
        <v>15</v>
      </c>
      <c r="X5" s="26" t="s">
        <v>15</v>
      </c>
      <c r="Y5" s="26" t="s">
        <v>15</v>
      </c>
      <c r="Z5" s="26" t="s">
        <v>15</v>
      </c>
      <c r="AA5" s="26" t="s">
        <v>15</v>
      </c>
      <c r="AB5" s="27" t="s">
        <v>15</v>
      </c>
      <c r="AC5" s="25" t="s">
        <v>15</v>
      </c>
      <c r="AD5" s="20" t="s">
        <v>15</v>
      </c>
      <c r="AE5" s="20" t="s">
        <v>15</v>
      </c>
      <c r="AF5" s="20" t="s">
        <v>15</v>
      </c>
      <c r="AG5" s="25" t="s">
        <v>15</v>
      </c>
      <c r="AH5" s="26" t="s">
        <v>15</v>
      </c>
      <c r="AI5" s="27" t="s">
        <v>15</v>
      </c>
      <c r="AJ5" s="27" t="s">
        <v>15</v>
      </c>
    </row>
    <row r="6" spans="1:36" x14ac:dyDescent="0.35">
      <c r="A6" s="32">
        <v>45323</v>
      </c>
      <c r="B6" s="19" t="s">
        <v>15</v>
      </c>
      <c r="C6" s="20" t="s">
        <v>15</v>
      </c>
      <c r="D6" s="20" t="s">
        <v>15</v>
      </c>
      <c r="E6" s="20" t="s">
        <v>15</v>
      </c>
      <c r="F6" s="20" t="s">
        <v>15</v>
      </c>
      <c r="G6" s="20" t="s">
        <v>15</v>
      </c>
      <c r="H6" s="20" t="s">
        <v>15</v>
      </c>
      <c r="I6" s="20" t="s">
        <v>15</v>
      </c>
      <c r="J6" s="20" t="s">
        <v>15</v>
      </c>
      <c r="K6" s="20" t="s">
        <v>15</v>
      </c>
      <c r="L6" s="20" t="s">
        <v>15</v>
      </c>
      <c r="M6" s="20" t="s">
        <v>15</v>
      </c>
      <c r="N6" s="20" t="s">
        <v>15</v>
      </c>
      <c r="O6" s="20" t="s">
        <v>15</v>
      </c>
      <c r="P6" s="20" t="s">
        <v>15</v>
      </c>
      <c r="Q6" s="20" t="s">
        <v>15</v>
      </c>
      <c r="R6" s="20" t="s">
        <v>15</v>
      </c>
      <c r="S6" s="20" t="s">
        <v>15</v>
      </c>
      <c r="T6" s="20" t="s">
        <v>15</v>
      </c>
      <c r="U6" s="20" t="s">
        <v>15</v>
      </c>
      <c r="V6" s="20" t="s">
        <v>15</v>
      </c>
      <c r="W6" s="20" t="s">
        <v>15</v>
      </c>
      <c r="X6" s="20" t="s">
        <v>15</v>
      </c>
      <c r="Y6" s="20" t="s">
        <v>15</v>
      </c>
      <c r="Z6" s="20" t="s">
        <v>15</v>
      </c>
      <c r="AA6" s="20" t="s">
        <v>15</v>
      </c>
      <c r="AB6" s="21" t="s">
        <v>15</v>
      </c>
      <c r="AC6" s="19" t="s">
        <v>15</v>
      </c>
      <c r="AD6" s="20" t="s">
        <v>15</v>
      </c>
      <c r="AE6" s="20" t="s">
        <v>15</v>
      </c>
      <c r="AF6" s="20" t="s">
        <v>15</v>
      </c>
      <c r="AG6" s="19" t="s">
        <v>15</v>
      </c>
      <c r="AH6" s="20" t="s">
        <v>15</v>
      </c>
      <c r="AI6" s="21" t="s">
        <v>15</v>
      </c>
      <c r="AJ6" s="21" t="s">
        <v>15</v>
      </c>
    </row>
    <row r="7" spans="1:36" x14ac:dyDescent="0.35">
      <c r="A7" s="32">
        <v>45352</v>
      </c>
      <c r="B7" s="19" t="s">
        <v>15</v>
      </c>
      <c r="C7" s="20" t="s">
        <v>15</v>
      </c>
      <c r="D7" s="20" t="s">
        <v>15</v>
      </c>
      <c r="E7" s="20" t="s">
        <v>15</v>
      </c>
      <c r="F7" s="20" t="s">
        <v>15</v>
      </c>
      <c r="G7" s="20" t="s">
        <v>15</v>
      </c>
      <c r="H7" s="20" t="s">
        <v>15</v>
      </c>
      <c r="I7" s="20" t="s">
        <v>15</v>
      </c>
      <c r="J7" s="20" t="s">
        <v>15</v>
      </c>
      <c r="K7" s="20" t="s">
        <v>15</v>
      </c>
      <c r="L7" s="20" t="s">
        <v>15</v>
      </c>
      <c r="M7" s="20" t="s">
        <v>15</v>
      </c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0" t="s">
        <v>15</v>
      </c>
      <c r="T7" s="20" t="s">
        <v>15</v>
      </c>
      <c r="U7" s="20" t="s">
        <v>15</v>
      </c>
      <c r="V7" s="20" t="s">
        <v>15</v>
      </c>
      <c r="W7" s="20" t="s">
        <v>15</v>
      </c>
      <c r="X7" s="20" t="s">
        <v>15</v>
      </c>
      <c r="Y7" s="20" t="s">
        <v>15</v>
      </c>
      <c r="Z7" s="20" t="s">
        <v>15</v>
      </c>
      <c r="AA7" s="20" t="s">
        <v>15</v>
      </c>
      <c r="AB7" s="21" t="s">
        <v>15</v>
      </c>
      <c r="AC7" s="19" t="s">
        <v>15</v>
      </c>
      <c r="AD7" s="20" t="s">
        <v>15</v>
      </c>
      <c r="AE7" s="20" t="s">
        <v>15</v>
      </c>
      <c r="AF7" s="20" t="s">
        <v>15</v>
      </c>
      <c r="AG7" s="19" t="s">
        <v>15</v>
      </c>
      <c r="AH7" s="20" t="s">
        <v>15</v>
      </c>
      <c r="AI7" s="21" t="s">
        <v>15</v>
      </c>
      <c r="AJ7" s="21" t="s">
        <v>15</v>
      </c>
    </row>
    <row r="8" spans="1:36" x14ac:dyDescent="0.35">
      <c r="A8" s="32">
        <v>45383</v>
      </c>
      <c r="B8" s="19" t="s">
        <v>15</v>
      </c>
      <c r="C8" s="20" t="s">
        <v>15</v>
      </c>
      <c r="D8" s="20" t="s">
        <v>15</v>
      </c>
      <c r="E8" s="20" t="s">
        <v>15</v>
      </c>
      <c r="F8" s="20" t="s">
        <v>15</v>
      </c>
      <c r="G8" s="20" t="s">
        <v>15</v>
      </c>
      <c r="H8" s="20" t="s">
        <v>15</v>
      </c>
      <c r="I8" s="20" t="s">
        <v>15</v>
      </c>
      <c r="J8" s="20" t="s">
        <v>15</v>
      </c>
      <c r="K8" s="20" t="s">
        <v>15</v>
      </c>
      <c r="L8" s="20" t="s">
        <v>15</v>
      </c>
      <c r="M8" s="20" t="s">
        <v>15</v>
      </c>
      <c r="N8" s="20" t="s">
        <v>15</v>
      </c>
      <c r="O8" s="20" t="s">
        <v>15</v>
      </c>
      <c r="P8" s="20" t="s">
        <v>15</v>
      </c>
      <c r="Q8" s="20" t="s">
        <v>15</v>
      </c>
      <c r="R8" s="20" t="s">
        <v>15</v>
      </c>
      <c r="S8" s="20" t="s">
        <v>15</v>
      </c>
      <c r="T8" s="20" t="s">
        <v>15</v>
      </c>
      <c r="U8" s="20" t="s">
        <v>15</v>
      </c>
      <c r="V8" s="20" t="s">
        <v>15</v>
      </c>
      <c r="W8" s="20" t="s">
        <v>15</v>
      </c>
      <c r="X8" s="20" t="s">
        <v>15</v>
      </c>
      <c r="Y8" s="20" t="s">
        <v>15</v>
      </c>
      <c r="Z8" s="20" t="s">
        <v>15</v>
      </c>
      <c r="AA8" s="20" t="s">
        <v>15</v>
      </c>
      <c r="AB8" s="21" t="s">
        <v>15</v>
      </c>
      <c r="AC8" s="19" t="s">
        <v>15</v>
      </c>
      <c r="AD8" s="20" t="s">
        <v>15</v>
      </c>
      <c r="AE8" s="20" t="s">
        <v>15</v>
      </c>
      <c r="AF8" s="20" t="s">
        <v>15</v>
      </c>
      <c r="AG8" s="19" t="s">
        <v>15</v>
      </c>
      <c r="AH8" s="20" t="s">
        <v>15</v>
      </c>
      <c r="AI8" s="21" t="s">
        <v>15</v>
      </c>
      <c r="AJ8" s="21" t="s">
        <v>15</v>
      </c>
    </row>
    <row r="9" spans="1:36" x14ac:dyDescent="0.35">
      <c r="A9" s="32">
        <v>45413</v>
      </c>
      <c r="B9" s="19" t="s">
        <v>15</v>
      </c>
      <c r="C9" s="20" t="s">
        <v>15</v>
      </c>
      <c r="D9" s="20" t="s">
        <v>15</v>
      </c>
      <c r="E9" s="20" t="s">
        <v>15</v>
      </c>
      <c r="F9" s="20" t="s">
        <v>15</v>
      </c>
      <c r="G9" s="20" t="s">
        <v>15</v>
      </c>
      <c r="H9" s="20" t="s">
        <v>15</v>
      </c>
      <c r="I9" s="20" t="s">
        <v>15</v>
      </c>
      <c r="J9" s="20" t="s">
        <v>15</v>
      </c>
      <c r="K9" s="20" t="s">
        <v>15</v>
      </c>
      <c r="L9" s="20" t="s">
        <v>15</v>
      </c>
      <c r="M9" s="20" t="s">
        <v>15</v>
      </c>
      <c r="N9" s="20" t="s">
        <v>15</v>
      </c>
      <c r="O9" s="20" t="s">
        <v>15</v>
      </c>
      <c r="P9" s="20" t="s">
        <v>15</v>
      </c>
      <c r="Q9" s="20" t="s">
        <v>15</v>
      </c>
      <c r="R9" s="20" t="s">
        <v>15</v>
      </c>
      <c r="S9" s="20" t="s">
        <v>15</v>
      </c>
      <c r="T9" s="20" t="s">
        <v>15</v>
      </c>
      <c r="U9" s="20" t="s">
        <v>15</v>
      </c>
      <c r="V9" s="20" t="s">
        <v>15</v>
      </c>
      <c r="W9" s="20" t="s">
        <v>15</v>
      </c>
      <c r="X9" s="20" t="s">
        <v>15</v>
      </c>
      <c r="Y9" s="20" t="s">
        <v>15</v>
      </c>
      <c r="Z9" s="20" t="s">
        <v>15</v>
      </c>
      <c r="AA9" s="20" t="s">
        <v>15</v>
      </c>
      <c r="AB9" s="21" t="s">
        <v>15</v>
      </c>
      <c r="AC9" s="19" t="s">
        <v>15</v>
      </c>
      <c r="AD9" s="20" t="s">
        <v>15</v>
      </c>
      <c r="AE9" s="20" t="s">
        <v>15</v>
      </c>
      <c r="AF9" s="20" t="s">
        <v>15</v>
      </c>
      <c r="AG9" s="19" t="s">
        <v>15</v>
      </c>
      <c r="AH9" s="20" t="s">
        <v>15</v>
      </c>
      <c r="AI9" s="21" t="s">
        <v>15</v>
      </c>
      <c r="AJ9" s="21" t="s">
        <v>15</v>
      </c>
    </row>
    <row r="10" spans="1:36" x14ac:dyDescent="0.35">
      <c r="A10" s="32">
        <v>45444</v>
      </c>
      <c r="B10" s="19" t="s">
        <v>15</v>
      </c>
      <c r="C10" s="20" t="s">
        <v>15</v>
      </c>
      <c r="D10" s="20" t="s">
        <v>15</v>
      </c>
      <c r="E10" s="20" t="s">
        <v>15</v>
      </c>
      <c r="F10" s="20" t="s">
        <v>15</v>
      </c>
      <c r="G10" s="20" t="s">
        <v>15</v>
      </c>
      <c r="H10" s="20" t="s">
        <v>15</v>
      </c>
      <c r="I10" s="20" t="s">
        <v>15</v>
      </c>
      <c r="J10" s="20" t="s">
        <v>15</v>
      </c>
      <c r="K10" s="20" t="s">
        <v>15</v>
      </c>
      <c r="L10" s="20" t="s">
        <v>15</v>
      </c>
      <c r="M10" s="20" t="s">
        <v>15</v>
      </c>
      <c r="N10" s="20" t="s">
        <v>15</v>
      </c>
      <c r="O10" s="20" t="s">
        <v>15</v>
      </c>
      <c r="P10" s="20" t="s">
        <v>15</v>
      </c>
      <c r="Q10" s="20" t="s">
        <v>15</v>
      </c>
      <c r="R10" s="20" t="s">
        <v>15</v>
      </c>
      <c r="S10" s="20" t="s">
        <v>15</v>
      </c>
      <c r="T10" s="20" t="s">
        <v>15</v>
      </c>
      <c r="U10" s="20" t="s">
        <v>15</v>
      </c>
      <c r="V10" s="20" t="s">
        <v>15</v>
      </c>
      <c r="W10" s="20" t="s">
        <v>15</v>
      </c>
      <c r="X10" s="20" t="s">
        <v>15</v>
      </c>
      <c r="Y10" s="20" t="s">
        <v>15</v>
      </c>
      <c r="Z10" s="20" t="s">
        <v>15</v>
      </c>
      <c r="AA10" s="20" t="s">
        <v>15</v>
      </c>
      <c r="AB10" s="21" t="s">
        <v>15</v>
      </c>
      <c r="AC10" s="19" t="s">
        <v>15</v>
      </c>
      <c r="AD10" s="20" t="s">
        <v>15</v>
      </c>
      <c r="AE10" s="20" t="s">
        <v>15</v>
      </c>
      <c r="AF10" s="20" t="s">
        <v>15</v>
      </c>
      <c r="AG10" s="19" t="s">
        <v>15</v>
      </c>
      <c r="AH10" s="20" t="s">
        <v>15</v>
      </c>
      <c r="AI10" s="21" t="s">
        <v>15</v>
      </c>
      <c r="AJ10" s="21" t="s">
        <v>15</v>
      </c>
    </row>
    <row r="11" spans="1:36" x14ac:dyDescent="0.35">
      <c r="A11" s="32">
        <v>45474</v>
      </c>
      <c r="B11" s="19" t="s">
        <v>15</v>
      </c>
      <c r="C11" s="20" t="s">
        <v>15</v>
      </c>
      <c r="D11" s="20" t="s">
        <v>15</v>
      </c>
      <c r="E11" s="20" t="s">
        <v>15</v>
      </c>
      <c r="F11" s="20" t="s">
        <v>15</v>
      </c>
      <c r="G11" s="20" t="s">
        <v>15</v>
      </c>
      <c r="H11" s="20" t="s">
        <v>15</v>
      </c>
      <c r="I11" s="20" t="s">
        <v>15</v>
      </c>
      <c r="J11" s="20" t="s">
        <v>15</v>
      </c>
      <c r="K11" s="20" t="s">
        <v>15</v>
      </c>
      <c r="L11" s="20" t="s">
        <v>15</v>
      </c>
      <c r="M11" s="20" t="s">
        <v>15</v>
      </c>
      <c r="N11" s="20" t="s">
        <v>15</v>
      </c>
      <c r="O11" s="20" t="s">
        <v>15</v>
      </c>
      <c r="P11" s="20" t="s">
        <v>15</v>
      </c>
      <c r="Q11" s="20" t="s">
        <v>15</v>
      </c>
      <c r="R11" s="20" t="s">
        <v>15</v>
      </c>
      <c r="S11" s="20" t="s">
        <v>15</v>
      </c>
      <c r="T11" s="20" t="s">
        <v>15</v>
      </c>
      <c r="U11" s="20" t="s">
        <v>15</v>
      </c>
      <c r="V11" s="20" t="s">
        <v>15</v>
      </c>
      <c r="W11" s="20" t="s">
        <v>15</v>
      </c>
      <c r="X11" s="20" t="s">
        <v>15</v>
      </c>
      <c r="Y11" s="20" t="s">
        <v>15</v>
      </c>
      <c r="Z11" s="20" t="s">
        <v>15</v>
      </c>
      <c r="AA11" s="20" t="s">
        <v>15</v>
      </c>
      <c r="AB11" s="21" t="s">
        <v>15</v>
      </c>
      <c r="AC11" s="19" t="s">
        <v>15</v>
      </c>
      <c r="AD11" s="20" t="s">
        <v>15</v>
      </c>
      <c r="AE11" s="20" t="s">
        <v>15</v>
      </c>
      <c r="AF11" s="20" t="s">
        <v>15</v>
      </c>
      <c r="AG11" s="19" t="s">
        <v>15</v>
      </c>
      <c r="AH11" s="20" t="s">
        <v>15</v>
      </c>
      <c r="AI11" s="21" t="s">
        <v>15</v>
      </c>
      <c r="AJ11" s="21" t="s">
        <v>15</v>
      </c>
    </row>
    <row r="12" spans="1:36" x14ac:dyDescent="0.35">
      <c r="A12" s="32">
        <v>45505</v>
      </c>
      <c r="B12" s="19" t="s">
        <v>15</v>
      </c>
      <c r="C12" s="20" t="s">
        <v>15</v>
      </c>
      <c r="D12" s="20" t="s">
        <v>15</v>
      </c>
      <c r="E12" s="20" t="s">
        <v>15</v>
      </c>
      <c r="F12" s="20" t="s">
        <v>15</v>
      </c>
      <c r="G12" s="20" t="s">
        <v>15</v>
      </c>
      <c r="H12" s="20" t="s">
        <v>15</v>
      </c>
      <c r="I12" s="20" t="s">
        <v>15</v>
      </c>
      <c r="J12" s="20" t="s">
        <v>15</v>
      </c>
      <c r="K12" s="20" t="s">
        <v>15</v>
      </c>
      <c r="L12" s="20" t="s">
        <v>15</v>
      </c>
      <c r="M12" s="20" t="s">
        <v>15</v>
      </c>
      <c r="N12" s="20" t="s">
        <v>15</v>
      </c>
      <c r="O12" s="20" t="s">
        <v>15</v>
      </c>
      <c r="P12" s="20" t="s">
        <v>15</v>
      </c>
      <c r="Q12" s="20" t="s">
        <v>15</v>
      </c>
      <c r="R12" s="20" t="s">
        <v>15</v>
      </c>
      <c r="S12" s="20" t="s">
        <v>15</v>
      </c>
      <c r="T12" s="20" t="s">
        <v>15</v>
      </c>
      <c r="U12" s="20" t="s">
        <v>15</v>
      </c>
      <c r="V12" s="20" t="s">
        <v>15</v>
      </c>
      <c r="W12" s="20" t="s">
        <v>15</v>
      </c>
      <c r="X12" s="20" t="s">
        <v>15</v>
      </c>
      <c r="Y12" s="20" t="s">
        <v>15</v>
      </c>
      <c r="Z12" s="20" t="s">
        <v>15</v>
      </c>
      <c r="AA12" s="20" t="s">
        <v>15</v>
      </c>
      <c r="AB12" s="21" t="s">
        <v>15</v>
      </c>
      <c r="AC12" s="19" t="s">
        <v>15</v>
      </c>
      <c r="AD12" s="20" t="s">
        <v>15</v>
      </c>
      <c r="AE12" s="20" t="s">
        <v>15</v>
      </c>
      <c r="AF12" s="20" t="s">
        <v>15</v>
      </c>
      <c r="AG12" s="19" t="s">
        <v>15</v>
      </c>
      <c r="AH12" s="20" t="s">
        <v>15</v>
      </c>
      <c r="AI12" s="21" t="s">
        <v>15</v>
      </c>
      <c r="AJ12" s="21" t="s">
        <v>15</v>
      </c>
    </row>
    <row r="13" spans="1:36" x14ac:dyDescent="0.35">
      <c r="A13" s="32">
        <v>45536</v>
      </c>
      <c r="B13" s="19" t="s">
        <v>15</v>
      </c>
      <c r="C13" s="20" t="s">
        <v>15</v>
      </c>
      <c r="D13" s="20" t="s">
        <v>15</v>
      </c>
      <c r="E13" s="20" t="s">
        <v>15</v>
      </c>
      <c r="F13" s="20" t="s">
        <v>15</v>
      </c>
      <c r="G13" s="20" t="s">
        <v>15</v>
      </c>
      <c r="H13" s="20" t="s">
        <v>15</v>
      </c>
      <c r="I13" s="20" t="s">
        <v>15</v>
      </c>
      <c r="J13" s="20" t="s">
        <v>15</v>
      </c>
      <c r="K13" s="20" t="s">
        <v>15</v>
      </c>
      <c r="L13" s="20" t="s">
        <v>15</v>
      </c>
      <c r="M13" s="20" t="s">
        <v>15</v>
      </c>
      <c r="N13" s="20" t="s">
        <v>15</v>
      </c>
      <c r="O13" s="20" t="s">
        <v>15</v>
      </c>
      <c r="P13" s="20" t="s">
        <v>15</v>
      </c>
      <c r="Q13" s="20" t="s">
        <v>15</v>
      </c>
      <c r="R13" s="20" t="s">
        <v>15</v>
      </c>
      <c r="S13" s="20" t="s">
        <v>15</v>
      </c>
      <c r="T13" s="20" t="s">
        <v>15</v>
      </c>
      <c r="U13" s="20" t="s">
        <v>15</v>
      </c>
      <c r="V13" s="20" t="s">
        <v>15</v>
      </c>
      <c r="W13" s="20" t="s">
        <v>15</v>
      </c>
      <c r="X13" s="20" t="s">
        <v>15</v>
      </c>
      <c r="Y13" s="20" t="s">
        <v>15</v>
      </c>
      <c r="Z13" s="20" t="s">
        <v>15</v>
      </c>
      <c r="AA13" s="20" t="s">
        <v>15</v>
      </c>
      <c r="AB13" s="21" t="s">
        <v>15</v>
      </c>
      <c r="AC13" s="19" t="s">
        <v>15</v>
      </c>
      <c r="AD13" s="20" t="s">
        <v>15</v>
      </c>
      <c r="AE13" s="20" t="s">
        <v>15</v>
      </c>
      <c r="AF13" s="20" t="s">
        <v>15</v>
      </c>
      <c r="AG13" s="19" t="s">
        <v>15</v>
      </c>
      <c r="AH13" s="20" t="s">
        <v>15</v>
      </c>
      <c r="AI13" s="21" t="s">
        <v>15</v>
      </c>
      <c r="AJ13" s="21" t="s">
        <v>15</v>
      </c>
    </row>
    <row r="14" spans="1:36" x14ac:dyDescent="0.35">
      <c r="A14" s="32">
        <v>45566</v>
      </c>
      <c r="B14" s="19" t="s">
        <v>15</v>
      </c>
      <c r="C14" s="20" t="s">
        <v>15</v>
      </c>
      <c r="D14" s="20" t="s">
        <v>15</v>
      </c>
      <c r="E14" s="20" t="s">
        <v>15</v>
      </c>
      <c r="F14" s="20" t="s">
        <v>15</v>
      </c>
      <c r="G14" s="20" t="s">
        <v>15</v>
      </c>
      <c r="H14" s="20" t="s">
        <v>15</v>
      </c>
      <c r="I14" s="20" t="s">
        <v>15</v>
      </c>
      <c r="J14" s="20" t="s">
        <v>15</v>
      </c>
      <c r="K14" s="20" t="s">
        <v>15</v>
      </c>
      <c r="L14" s="20" t="s">
        <v>15</v>
      </c>
      <c r="M14" s="20" t="s">
        <v>15</v>
      </c>
      <c r="N14" s="20" t="s">
        <v>15</v>
      </c>
      <c r="O14" s="20" t="s">
        <v>15</v>
      </c>
      <c r="P14" s="20" t="s">
        <v>15</v>
      </c>
      <c r="Q14" s="20" t="s">
        <v>15</v>
      </c>
      <c r="R14" s="20" t="s">
        <v>15</v>
      </c>
      <c r="S14" s="20" t="s">
        <v>15</v>
      </c>
      <c r="T14" s="20" t="s">
        <v>15</v>
      </c>
      <c r="U14" s="20" t="s">
        <v>15</v>
      </c>
      <c r="V14" s="20" t="s">
        <v>15</v>
      </c>
      <c r="W14" s="20" t="s">
        <v>15</v>
      </c>
      <c r="X14" s="20" t="s">
        <v>15</v>
      </c>
      <c r="Y14" s="20" t="s">
        <v>15</v>
      </c>
      <c r="Z14" s="20" t="s">
        <v>15</v>
      </c>
      <c r="AA14" s="20" t="s">
        <v>15</v>
      </c>
      <c r="AB14" s="21" t="s">
        <v>15</v>
      </c>
      <c r="AC14" s="19" t="s">
        <v>15</v>
      </c>
      <c r="AD14" s="20" t="s">
        <v>15</v>
      </c>
      <c r="AE14" s="20" t="s">
        <v>15</v>
      </c>
      <c r="AF14" s="20" t="s">
        <v>15</v>
      </c>
      <c r="AG14" s="19" t="s">
        <v>15</v>
      </c>
      <c r="AH14" s="20" t="s">
        <v>15</v>
      </c>
      <c r="AI14" s="21" t="s">
        <v>15</v>
      </c>
      <c r="AJ14" s="21" t="s">
        <v>15</v>
      </c>
    </row>
    <row r="15" spans="1:36" x14ac:dyDescent="0.35">
      <c r="A15" s="32">
        <v>45597</v>
      </c>
      <c r="B15" s="19" t="s">
        <v>15</v>
      </c>
      <c r="C15" s="20" t="s">
        <v>15</v>
      </c>
      <c r="D15" s="20" t="s">
        <v>15</v>
      </c>
      <c r="E15" s="20" t="s">
        <v>15</v>
      </c>
      <c r="F15" s="20" t="s">
        <v>15</v>
      </c>
      <c r="G15" s="20" t="s">
        <v>15</v>
      </c>
      <c r="H15" s="20" t="s">
        <v>15</v>
      </c>
      <c r="I15" s="20" t="s">
        <v>15</v>
      </c>
      <c r="J15" s="20" t="s">
        <v>15</v>
      </c>
      <c r="K15" s="20" t="s">
        <v>15</v>
      </c>
      <c r="L15" s="20" t="s">
        <v>15</v>
      </c>
      <c r="M15" s="20" t="s">
        <v>15</v>
      </c>
      <c r="N15" s="20" t="s">
        <v>15</v>
      </c>
      <c r="O15" s="20" t="s">
        <v>15</v>
      </c>
      <c r="P15" s="20" t="s">
        <v>15</v>
      </c>
      <c r="Q15" s="20" t="s">
        <v>15</v>
      </c>
      <c r="R15" s="20" t="s">
        <v>15</v>
      </c>
      <c r="S15" s="20" t="s">
        <v>15</v>
      </c>
      <c r="T15" s="20" t="s">
        <v>15</v>
      </c>
      <c r="U15" s="20" t="s">
        <v>15</v>
      </c>
      <c r="V15" s="20" t="s">
        <v>15</v>
      </c>
      <c r="W15" s="20" t="s">
        <v>15</v>
      </c>
      <c r="X15" s="20" t="s">
        <v>15</v>
      </c>
      <c r="Y15" s="20" t="s">
        <v>15</v>
      </c>
      <c r="Z15" s="20" t="s">
        <v>15</v>
      </c>
      <c r="AA15" s="20" t="s">
        <v>15</v>
      </c>
      <c r="AB15" s="21" t="s">
        <v>15</v>
      </c>
      <c r="AC15" s="19" t="s">
        <v>15</v>
      </c>
      <c r="AD15" s="20" t="s">
        <v>15</v>
      </c>
      <c r="AE15" s="20" t="s">
        <v>15</v>
      </c>
      <c r="AF15" s="20" t="s">
        <v>15</v>
      </c>
      <c r="AG15" s="19" t="s">
        <v>15</v>
      </c>
      <c r="AH15" s="20" t="s">
        <v>15</v>
      </c>
      <c r="AI15" s="21" t="s">
        <v>15</v>
      </c>
      <c r="AJ15" s="21" t="s">
        <v>15</v>
      </c>
    </row>
    <row r="16" spans="1:36" ht="15" thickBot="1" x14ac:dyDescent="0.4">
      <c r="A16" s="33">
        <v>45627</v>
      </c>
      <c r="B16" s="22" t="s">
        <v>15</v>
      </c>
      <c r="C16" s="23" t="s">
        <v>15</v>
      </c>
      <c r="D16" s="23" t="s">
        <v>15</v>
      </c>
      <c r="E16" s="23" t="s">
        <v>15</v>
      </c>
      <c r="F16" s="23" t="s">
        <v>15</v>
      </c>
      <c r="G16" s="23" t="s">
        <v>15</v>
      </c>
      <c r="H16" s="23" t="s">
        <v>15</v>
      </c>
      <c r="I16" s="23" t="s">
        <v>15</v>
      </c>
      <c r="J16" s="23" t="s">
        <v>15</v>
      </c>
      <c r="K16" s="23" t="s">
        <v>15</v>
      </c>
      <c r="L16" s="23" t="s">
        <v>15</v>
      </c>
      <c r="M16" s="23" t="s">
        <v>15</v>
      </c>
      <c r="N16" s="23" t="s">
        <v>15</v>
      </c>
      <c r="O16" s="23" t="s">
        <v>15</v>
      </c>
      <c r="P16" s="23" t="s">
        <v>15</v>
      </c>
      <c r="Q16" s="23" t="s">
        <v>15</v>
      </c>
      <c r="R16" s="23" t="s">
        <v>15</v>
      </c>
      <c r="S16" s="23" t="s">
        <v>15</v>
      </c>
      <c r="T16" s="23" t="s">
        <v>15</v>
      </c>
      <c r="U16" s="23" t="s">
        <v>15</v>
      </c>
      <c r="V16" s="23" t="s">
        <v>15</v>
      </c>
      <c r="W16" s="23" t="s">
        <v>15</v>
      </c>
      <c r="X16" s="23" t="s">
        <v>15</v>
      </c>
      <c r="Y16" s="23" t="s">
        <v>15</v>
      </c>
      <c r="Z16" s="23" t="s">
        <v>15</v>
      </c>
      <c r="AA16" s="23" t="s">
        <v>15</v>
      </c>
      <c r="AB16" s="24" t="s">
        <v>15</v>
      </c>
      <c r="AC16" s="22" t="s">
        <v>15</v>
      </c>
      <c r="AD16" s="23" t="s">
        <v>15</v>
      </c>
      <c r="AE16" s="23" t="s">
        <v>15</v>
      </c>
      <c r="AF16" s="23" t="s">
        <v>15</v>
      </c>
      <c r="AG16" s="22" t="s">
        <v>15</v>
      </c>
      <c r="AH16" s="23" t="s">
        <v>15</v>
      </c>
      <c r="AI16" s="24" t="s">
        <v>15</v>
      </c>
      <c r="AJ16" s="24" t="s">
        <v>15</v>
      </c>
    </row>
    <row r="17" spans="1:36" x14ac:dyDescent="0.35">
      <c r="A17" s="31">
        <v>45659</v>
      </c>
      <c r="B17" s="25" t="s">
        <v>15</v>
      </c>
      <c r="C17" s="26" t="s">
        <v>15</v>
      </c>
      <c r="D17" s="26" t="s">
        <v>15</v>
      </c>
      <c r="E17" s="26" t="s">
        <v>15</v>
      </c>
      <c r="F17" s="26" t="s">
        <v>15</v>
      </c>
      <c r="G17" s="26" t="s">
        <v>15</v>
      </c>
      <c r="H17" s="26" t="s">
        <v>15</v>
      </c>
      <c r="I17" s="26" t="s">
        <v>15</v>
      </c>
      <c r="J17" s="26" t="s">
        <v>15</v>
      </c>
      <c r="K17" s="26" t="s">
        <v>15</v>
      </c>
      <c r="L17" s="26" t="s">
        <v>15</v>
      </c>
      <c r="M17" s="26" t="s">
        <v>15</v>
      </c>
      <c r="N17" s="26" t="s">
        <v>15</v>
      </c>
      <c r="O17" s="26" t="s">
        <v>15</v>
      </c>
      <c r="P17" s="26" t="s">
        <v>15</v>
      </c>
      <c r="Q17" s="26" t="s">
        <v>15</v>
      </c>
      <c r="R17" s="26" t="s">
        <v>15</v>
      </c>
      <c r="S17" s="26" t="s">
        <v>15</v>
      </c>
      <c r="T17" s="26" t="s">
        <v>15</v>
      </c>
      <c r="U17" s="26" t="s">
        <v>15</v>
      </c>
      <c r="V17" s="26" t="s">
        <v>15</v>
      </c>
      <c r="W17" s="26" t="s">
        <v>15</v>
      </c>
      <c r="X17" s="26" t="s">
        <v>15</v>
      </c>
      <c r="Y17" s="26" t="s">
        <v>15</v>
      </c>
      <c r="Z17" s="26" t="s">
        <v>15</v>
      </c>
      <c r="AA17" s="26" t="s">
        <v>15</v>
      </c>
      <c r="AB17" s="26" t="s">
        <v>15</v>
      </c>
      <c r="AC17" s="25" t="s">
        <v>15</v>
      </c>
      <c r="AD17" s="20" t="s">
        <v>15</v>
      </c>
      <c r="AE17" s="20" t="s">
        <v>15</v>
      </c>
      <c r="AF17" s="20" t="s">
        <v>15</v>
      </c>
      <c r="AG17" s="25" t="s">
        <v>15</v>
      </c>
      <c r="AH17" s="26" t="s">
        <v>15</v>
      </c>
      <c r="AI17" s="27" t="s">
        <v>15</v>
      </c>
      <c r="AJ17" s="28" t="s">
        <v>15</v>
      </c>
    </row>
    <row r="18" spans="1:36" x14ac:dyDescent="0.35">
      <c r="A18" s="32">
        <v>45689</v>
      </c>
      <c r="B18" s="19" t="s">
        <v>15</v>
      </c>
      <c r="C18" s="20" t="s">
        <v>15</v>
      </c>
      <c r="D18" s="20" t="s">
        <v>15</v>
      </c>
      <c r="E18" s="20" t="s">
        <v>15</v>
      </c>
      <c r="F18" s="20" t="s">
        <v>15</v>
      </c>
      <c r="G18" s="20" t="s">
        <v>15</v>
      </c>
      <c r="H18" s="20" t="s">
        <v>15</v>
      </c>
      <c r="I18" s="20" t="s">
        <v>15</v>
      </c>
      <c r="J18" s="20" t="s">
        <v>15</v>
      </c>
      <c r="K18" s="20" t="s">
        <v>15</v>
      </c>
      <c r="L18" s="20" t="s">
        <v>15</v>
      </c>
      <c r="M18" s="20" t="s">
        <v>15</v>
      </c>
      <c r="N18" s="20" t="s">
        <v>15</v>
      </c>
      <c r="O18" s="20" t="s">
        <v>15</v>
      </c>
      <c r="P18" s="20" t="s">
        <v>15</v>
      </c>
      <c r="Q18" s="20" t="s">
        <v>15</v>
      </c>
      <c r="R18" s="20" t="s">
        <v>15</v>
      </c>
      <c r="S18" s="20" t="s">
        <v>15</v>
      </c>
      <c r="T18" s="20" t="s">
        <v>15</v>
      </c>
      <c r="U18" s="20" t="s">
        <v>15</v>
      </c>
      <c r="V18" s="20" t="s">
        <v>15</v>
      </c>
      <c r="W18" s="20" t="s">
        <v>15</v>
      </c>
      <c r="X18" s="20" t="s">
        <v>15</v>
      </c>
      <c r="Y18" s="20" t="s">
        <v>15</v>
      </c>
      <c r="Z18" s="20" t="s">
        <v>15</v>
      </c>
      <c r="AA18" s="20" t="s">
        <v>15</v>
      </c>
      <c r="AB18" s="21" t="s">
        <v>15</v>
      </c>
      <c r="AC18" s="19" t="s">
        <v>15</v>
      </c>
      <c r="AD18" s="20" t="s">
        <v>15</v>
      </c>
      <c r="AE18" s="20" t="s">
        <v>15</v>
      </c>
      <c r="AF18" s="20" t="s">
        <v>15</v>
      </c>
      <c r="AG18" s="19" t="s">
        <v>15</v>
      </c>
      <c r="AH18" s="20" t="s">
        <v>15</v>
      </c>
      <c r="AI18" s="21" t="s">
        <v>15</v>
      </c>
      <c r="AJ18" s="21" t="s">
        <v>15</v>
      </c>
    </row>
    <row r="19" spans="1:36" x14ac:dyDescent="0.35">
      <c r="A19" s="32">
        <v>45717</v>
      </c>
      <c r="B19" s="19" t="s">
        <v>15</v>
      </c>
      <c r="C19" s="20" t="s">
        <v>15</v>
      </c>
      <c r="D19" s="20" t="s">
        <v>15</v>
      </c>
      <c r="E19" s="20" t="s">
        <v>15</v>
      </c>
      <c r="F19" s="20" t="s">
        <v>15</v>
      </c>
      <c r="G19" s="20" t="s">
        <v>15</v>
      </c>
      <c r="H19" s="20" t="s">
        <v>15</v>
      </c>
      <c r="I19" s="20" t="s">
        <v>15</v>
      </c>
      <c r="J19" s="20" t="s">
        <v>15</v>
      </c>
      <c r="K19" s="20" t="s">
        <v>15</v>
      </c>
      <c r="L19" s="20" t="s">
        <v>15</v>
      </c>
      <c r="M19" s="20" t="s">
        <v>15</v>
      </c>
      <c r="N19" s="20" t="s">
        <v>15</v>
      </c>
      <c r="O19" s="20" t="s">
        <v>15</v>
      </c>
      <c r="P19" s="20" t="s">
        <v>15</v>
      </c>
      <c r="Q19" s="20" t="s">
        <v>15</v>
      </c>
      <c r="R19" s="20" t="s">
        <v>15</v>
      </c>
      <c r="S19" s="20" t="s">
        <v>15</v>
      </c>
      <c r="T19" s="20" t="s">
        <v>15</v>
      </c>
      <c r="U19" s="20" t="s">
        <v>15</v>
      </c>
      <c r="V19" s="20" t="s">
        <v>15</v>
      </c>
      <c r="W19" s="20" t="s">
        <v>15</v>
      </c>
      <c r="X19" s="20" t="s">
        <v>15</v>
      </c>
      <c r="Y19" s="20" t="s">
        <v>15</v>
      </c>
      <c r="Z19" s="20" t="s">
        <v>15</v>
      </c>
      <c r="AA19" s="20" t="s">
        <v>15</v>
      </c>
      <c r="AB19" s="21" t="s">
        <v>15</v>
      </c>
      <c r="AC19" s="19" t="s">
        <v>15</v>
      </c>
      <c r="AD19" s="20" t="s">
        <v>15</v>
      </c>
      <c r="AE19" s="20" t="s">
        <v>15</v>
      </c>
      <c r="AF19" s="20" t="s">
        <v>15</v>
      </c>
      <c r="AG19" s="19" t="s">
        <v>15</v>
      </c>
      <c r="AH19" s="20" t="s">
        <v>15</v>
      </c>
      <c r="AI19" s="21" t="s">
        <v>15</v>
      </c>
      <c r="AJ19" s="21" t="s">
        <v>15</v>
      </c>
    </row>
    <row r="20" spans="1:36" x14ac:dyDescent="0.35">
      <c r="A20" s="32">
        <v>45748</v>
      </c>
      <c r="B20" s="19" t="s">
        <v>15</v>
      </c>
      <c r="C20" s="20" t="s">
        <v>15</v>
      </c>
      <c r="D20" s="20" t="s">
        <v>15</v>
      </c>
      <c r="E20" s="20" t="s">
        <v>15</v>
      </c>
      <c r="F20" s="20" t="s">
        <v>15</v>
      </c>
      <c r="G20" s="20" t="s">
        <v>15</v>
      </c>
      <c r="H20" s="20" t="s">
        <v>15</v>
      </c>
      <c r="I20" s="20" t="s">
        <v>15</v>
      </c>
      <c r="J20" s="20" t="s">
        <v>15</v>
      </c>
      <c r="K20" s="20" t="s">
        <v>15</v>
      </c>
      <c r="L20" s="20" t="s">
        <v>15</v>
      </c>
      <c r="M20" s="20" t="s">
        <v>15</v>
      </c>
      <c r="N20" s="20" t="s">
        <v>15</v>
      </c>
      <c r="O20" s="20" t="s">
        <v>15</v>
      </c>
      <c r="P20" s="20" t="s">
        <v>15</v>
      </c>
      <c r="Q20" s="20" t="s">
        <v>15</v>
      </c>
      <c r="R20" s="20" t="s">
        <v>15</v>
      </c>
      <c r="S20" s="20" t="s">
        <v>15</v>
      </c>
      <c r="T20" s="20" t="s">
        <v>15</v>
      </c>
      <c r="U20" s="20" t="s">
        <v>15</v>
      </c>
      <c r="V20" s="20" t="s">
        <v>15</v>
      </c>
      <c r="W20" s="20" t="s">
        <v>15</v>
      </c>
      <c r="X20" s="20" t="s">
        <v>15</v>
      </c>
      <c r="Y20" s="20" t="s">
        <v>15</v>
      </c>
      <c r="Z20" s="20" t="s">
        <v>15</v>
      </c>
      <c r="AA20" s="20" t="s">
        <v>15</v>
      </c>
      <c r="AB20" s="21" t="s">
        <v>15</v>
      </c>
      <c r="AC20" s="19" t="s">
        <v>15</v>
      </c>
      <c r="AD20" s="20" t="s">
        <v>15</v>
      </c>
      <c r="AE20" s="20" t="s">
        <v>15</v>
      </c>
      <c r="AF20" s="20" t="s">
        <v>15</v>
      </c>
      <c r="AG20" s="19" t="s">
        <v>15</v>
      </c>
      <c r="AH20" s="20" t="s">
        <v>15</v>
      </c>
      <c r="AI20" s="21" t="s">
        <v>15</v>
      </c>
      <c r="AJ20" s="21" t="s">
        <v>15</v>
      </c>
    </row>
    <row r="21" spans="1:36" x14ac:dyDescent="0.35">
      <c r="A21" s="32">
        <v>45778</v>
      </c>
      <c r="B21" s="19" t="s">
        <v>15</v>
      </c>
      <c r="C21" s="20" t="s">
        <v>15</v>
      </c>
      <c r="D21" s="20" t="s">
        <v>15</v>
      </c>
      <c r="E21" s="20" t="s">
        <v>15</v>
      </c>
      <c r="F21" s="20" t="s">
        <v>15</v>
      </c>
      <c r="G21" s="20" t="s">
        <v>15</v>
      </c>
      <c r="H21" s="20" t="s">
        <v>15</v>
      </c>
      <c r="I21" s="20" t="s">
        <v>15</v>
      </c>
      <c r="J21" s="20" t="s">
        <v>15</v>
      </c>
      <c r="K21" s="20" t="s">
        <v>15</v>
      </c>
      <c r="L21" s="20" t="s">
        <v>15</v>
      </c>
      <c r="M21" s="20" t="s">
        <v>15</v>
      </c>
      <c r="N21" s="20" t="s">
        <v>15</v>
      </c>
      <c r="O21" s="20" t="s">
        <v>15</v>
      </c>
      <c r="P21" s="20" t="s">
        <v>15</v>
      </c>
      <c r="Q21" s="20" t="s">
        <v>15</v>
      </c>
      <c r="R21" s="20" t="s">
        <v>15</v>
      </c>
      <c r="S21" s="20" t="s">
        <v>15</v>
      </c>
      <c r="T21" s="20" t="s">
        <v>15</v>
      </c>
      <c r="U21" s="20" t="s">
        <v>15</v>
      </c>
      <c r="V21" s="20" t="s">
        <v>15</v>
      </c>
      <c r="W21" s="20" t="s">
        <v>15</v>
      </c>
      <c r="X21" s="20" t="s">
        <v>15</v>
      </c>
      <c r="Y21" s="20" t="s">
        <v>15</v>
      </c>
      <c r="Z21" s="20" t="s">
        <v>15</v>
      </c>
      <c r="AA21" s="20" t="s">
        <v>15</v>
      </c>
      <c r="AB21" s="21" t="s">
        <v>15</v>
      </c>
      <c r="AC21" s="19" t="s">
        <v>15</v>
      </c>
      <c r="AD21" s="20" t="s">
        <v>15</v>
      </c>
      <c r="AE21" s="20" t="s">
        <v>15</v>
      </c>
      <c r="AF21" s="20" t="s">
        <v>15</v>
      </c>
      <c r="AG21" s="19" t="s">
        <v>15</v>
      </c>
      <c r="AH21" s="20" t="s">
        <v>15</v>
      </c>
      <c r="AI21" s="21" t="s">
        <v>15</v>
      </c>
      <c r="AJ21" s="21" t="s">
        <v>15</v>
      </c>
    </row>
    <row r="22" spans="1:36" x14ac:dyDescent="0.35">
      <c r="A22" s="32">
        <v>45809</v>
      </c>
      <c r="B22" s="19" t="s">
        <v>15</v>
      </c>
      <c r="C22" s="20" t="s">
        <v>15</v>
      </c>
      <c r="D22" s="20" t="s">
        <v>15</v>
      </c>
      <c r="E22" s="20" t="s">
        <v>15</v>
      </c>
      <c r="F22" s="20" t="s">
        <v>15</v>
      </c>
      <c r="G22" s="20" t="s">
        <v>15</v>
      </c>
      <c r="H22" s="20" t="s">
        <v>15</v>
      </c>
      <c r="I22" s="20" t="s">
        <v>15</v>
      </c>
      <c r="J22" s="20" t="s">
        <v>15</v>
      </c>
      <c r="K22" s="20" t="s">
        <v>15</v>
      </c>
      <c r="L22" s="20" t="s">
        <v>15</v>
      </c>
      <c r="M22" s="20" t="s">
        <v>15</v>
      </c>
      <c r="N22" s="20" t="s">
        <v>15</v>
      </c>
      <c r="O22" s="20" t="s">
        <v>15</v>
      </c>
      <c r="P22" s="20" t="s">
        <v>15</v>
      </c>
      <c r="Q22" s="20" t="s">
        <v>15</v>
      </c>
      <c r="R22" s="20" t="s">
        <v>15</v>
      </c>
      <c r="S22" s="20" t="s">
        <v>15</v>
      </c>
      <c r="T22" s="20" t="s">
        <v>15</v>
      </c>
      <c r="U22" s="20" t="s">
        <v>15</v>
      </c>
      <c r="V22" s="20" t="s">
        <v>15</v>
      </c>
      <c r="W22" s="20" t="s">
        <v>15</v>
      </c>
      <c r="X22" s="20" t="s">
        <v>15</v>
      </c>
      <c r="Y22" s="20" t="s">
        <v>15</v>
      </c>
      <c r="Z22" s="20" t="s">
        <v>15</v>
      </c>
      <c r="AA22" s="20" t="s">
        <v>15</v>
      </c>
      <c r="AB22" s="21" t="s">
        <v>15</v>
      </c>
      <c r="AC22" s="19" t="s">
        <v>15</v>
      </c>
      <c r="AD22" s="20" t="s">
        <v>15</v>
      </c>
      <c r="AE22" s="20" t="s">
        <v>15</v>
      </c>
      <c r="AF22" s="20" t="s">
        <v>15</v>
      </c>
      <c r="AG22" s="19" t="s">
        <v>15</v>
      </c>
      <c r="AH22" s="20" t="s">
        <v>15</v>
      </c>
      <c r="AI22" s="21" t="s">
        <v>15</v>
      </c>
      <c r="AJ22" s="21" t="s">
        <v>15</v>
      </c>
    </row>
    <row r="23" spans="1:36" x14ac:dyDescent="0.35">
      <c r="A23" s="32">
        <v>45839</v>
      </c>
      <c r="B23" s="19" t="s">
        <v>15</v>
      </c>
      <c r="C23" s="20" t="s">
        <v>15</v>
      </c>
      <c r="D23" s="20" t="s">
        <v>15</v>
      </c>
      <c r="E23" s="20" t="s">
        <v>15</v>
      </c>
      <c r="F23" s="20" t="s">
        <v>15</v>
      </c>
      <c r="G23" s="20" t="s">
        <v>15</v>
      </c>
      <c r="H23" s="20" t="s">
        <v>15</v>
      </c>
      <c r="I23" s="20" t="s">
        <v>15</v>
      </c>
      <c r="J23" s="20" t="s">
        <v>15</v>
      </c>
      <c r="K23" s="20" t="s">
        <v>15</v>
      </c>
      <c r="L23" s="20" t="s">
        <v>15</v>
      </c>
      <c r="M23" s="20" t="s">
        <v>15</v>
      </c>
      <c r="N23" s="20" t="s">
        <v>15</v>
      </c>
      <c r="O23" s="20" t="s">
        <v>15</v>
      </c>
      <c r="P23" s="20" t="s">
        <v>15</v>
      </c>
      <c r="Q23" s="20" t="s">
        <v>15</v>
      </c>
      <c r="R23" s="20" t="s">
        <v>15</v>
      </c>
      <c r="S23" s="20" t="s">
        <v>15</v>
      </c>
      <c r="T23" s="20" t="s">
        <v>15</v>
      </c>
      <c r="U23" s="20" t="s">
        <v>15</v>
      </c>
      <c r="V23" s="20" t="s">
        <v>15</v>
      </c>
      <c r="W23" s="20" t="s">
        <v>15</v>
      </c>
      <c r="X23" s="20" t="s">
        <v>15</v>
      </c>
      <c r="Y23" s="20" t="s">
        <v>15</v>
      </c>
      <c r="Z23" s="20" t="s">
        <v>15</v>
      </c>
      <c r="AA23" s="20" t="s">
        <v>15</v>
      </c>
      <c r="AB23" s="21" t="s">
        <v>15</v>
      </c>
      <c r="AC23" s="19" t="s">
        <v>15</v>
      </c>
      <c r="AD23" s="20" t="s">
        <v>15</v>
      </c>
      <c r="AE23" s="20" t="s">
        <v>15</v>
      </c>
      <c r="AF23" s="20" t="s">
        <v>15</v>
      </c>
      <c r="AG23" s="19" t="s">
        <v>15</v>
      </c>
      <c r="AH23" s="20" t="s">
        <v>15</v>
      </c>
      <c r="AI23" s="21" t="s">
        <v>15</v>
      </c>
      <c r="AJ23" s="21" t="s">
        <v>15</v>
      </c>
    </row>
    <row r="24" spans="1:36" x14ac:dyDescent="0.35">
      <c r="A24" s="32">
        <v>45870</v>
      </c>
      <c r="B24" s="19" t="s">
        <v>15</v>
      </c>
      <c r="C24" s="20" t="s">
        <v>15</v>
      </c>
      <c r="D24" s="20" t="s">
        <v>15</v>
      </c>
      <c r="E24" s="20" t="s">
        <v>15</v>
      </c>
      <c r="F24" s="20" t="s">
        <v>15</v>
      </c>
      <c r="G24" s="20" t="s">
        <v>15</v>
      </c>
      <c r="H24" s="20" t="s">
        <v>15</v>
      </c>
      <c r="I24" s="20" t="s">
        <v>15</v>
      </c>
      <c r="J24" s="20" t="s">
        <v>15</v>
      </c>
      <c r="K24" s="20" t="s">
        <v>15</v>
      </c>
      <c r="L24" s="20" t="s">
        <v>15</v>
      </c>
      <c r="M24" s="20" t="s">
        <v>15</v>
      </c>
      <c r="N24" s="20" t="s">
        <v>15</v>
      </c>
      <c r="O24" s="20" t="s">
        <v>15</v>
      </c>
      <c r="P24" s="20" t="s">
        <v>15</v>
      </c>
      <c r="Q24" s="20" t="s">
        <v>15</v>
      </c>
      <c r="R24" s="20" t="s">
        <v>15</v>
      </c>
      <c r="S24" s="20" t="s">
        <v>15</v>
      </c>
      <c r="T24" s="20" t="s">
        <v>15</v>
      </c>
      <c r="U24" s="20" t="s">
        <v>15</v>
      </c>
      <c r="V24" s="20" t="s">
        <v>15</v>
      </c>
      <c r="W24" s="20" t="s">
        <v>15</v>
      </c>
      <c r="X24" s="20" t="s">
        <v>15</v>
      </c>
      <c r="Y24" s="20" t="s">
        <v>15</v>
      </c>
      <c r="Z24" s="20" t="s">
        <v>15</v>
      </c>
      <c r="AA24" s="20" t="s">
        <v>15</v>
      </c>
      <c r="AB24" s="21" t="s">
        <v>15</v>
      </c>
      <c r="AC24" s="19" t="s">
        <v>15</v>
      </c>
      <c r="AD24" s="20" t="s">
        <v>15</v>
      </c>
      <c r="AE24" s="20" t="s">
        <v>15</v>
      </c>
      <c r="AF24" s="20" t="s">
        <v>15</v>
      </c>
      <c r="AG24" s="19" t="s">
        <v>15</v>
      </c>
      <c r="AH24" s="20" t="s">
        <v>15</v>
      </c>
      <c r="AI24" s="21" t="s">
        <v>15</v>
      </c>
      <c r="AJ24" s="21" t="s">
        <v>15</v>
      </c>
    </row>
    <row r="25" spans="1:36" x14ac:dyDescent="0.35">
      <c r="A25" s="32">
        <v>45901</v>
      </c>
      <c r="B25" s="19" t="s">
        <v>15</v>
      </c>
      <c r="C25" s="20" t="s">
        <v>15</v>
      </c>
      <c r="D25" s="20" t="s">
        <v>15</v>
      </c>
      <c r="E25" s="20" t="s">
        <v>15</v>
      </c>
      <c r="F25" s="20" t="s">
        <v>15</v>
      </c>
      <c r="G25" s="20" t="s">
        <v>15</v>
      </c>
      <c r="H25" s="20" t="s">
        <v>15</v>
      </c>
      <c r="I25" s="20" t="s">
        <v>15</v>
      </c>
      <c r="J25" s="20" t="s">
        <v>15</v>
      </c>
      <c r="K25" s="20" t="s">
        <v>15</v>
      </c>
      <c r="L25" s="20" t="s">
        <v>15</v>
      </c>
      <c r="M25" s="20" t="s">
        <v>15</v>
      </c>
      <c r="N25" s="20" t="s">
        <v>15</v>
      </c>
      <c r="O25" s="20" t="s">
        <v>15</v>
      </c>
      <c r="P25" s="20" t="s">
        <v>15</v>
      </c>
      <c r="Q25" s="20" t="s">
        <v>15</v>
      </c>
      <c r="R25" s="20" t="s">
        <v>15</v>
      </c>
      <c r="S25" s="20" t="s">
        <v>15</v>
      </c>
      <c r="T25" s="20" t="s">
        <v>15</v>
      </c>
      <c r="U25" s="20" t="s">
        <v>15</v>
      </c>
      <c r="V25" s="20" t="s">
        <v>15</v>
      </c>
      <c r="W25" s="20" t="s">
        <v>15</v>
      </c>
      <c r="X25" s="20" t="s">
        <v>15</v>
      </c>
      <c r="Y25" s="20" t="s">
        <v>15</v>
      </c>
      <c r="Z25" s="20" t="s">
        <v>15</v>
      </c>
      <c r="AA25" s="20" t="s">
        <v>15</v>
      </c>
      <c r="AB25" s="21" t="s">
        <v>15</v>
      </c>
      <c r="AC25" s="19" t="s">
        <v>15</v>
      </c>
      <c r="AD25" s="20" t="s">
        <v>15</v>
      </c>
      <c r="AE25" s="20" t="s">
        <v>15</v>
      </c>
      <c r="AF25" s="20" t="s">
        <v>15</v>
      </c>
      <c r="AG25" s="19" t="s">
        <v>15</v>
      </c>
      <c r="AH25" s="20" t="s">
        <v>15</v>
      </c>
      <c r="AI25" s="21" t="s">
        <v>15</v>
      </c>
      <c r="AJ25" s="21" t="s">
        <v>15</v>
      </c>
    </row>
    <row r="26" spans="1:36" x14ac:dyDescent="0.35">
      <c r="A26" s="32">
        <v>45931</v>
      </c>
      <c r="B26" s="19" t="s">
        <v>15</v>
      </c>
      <c r="C26" s="20" t="s">
        <v>15</v>
      </c>
      <c r="D26" s="20" t="s">
        <v>15</v>
      </c>
      <c r="E26" s="20" t="s">
        <v>15</v>
      </c>
      <c r="F26" s="20" t="s">
        <v>15</v>
      </c>
      <c r="G26" s="20" t="s">
        <v>15</v>
      </c>
      <c r="H26" s="20" t="s">
        <v>15</v>
      </c>
      <c r="I26" s="20" t="s">
        <v>15</v>
      </c>
      <c r="J26" s="20" t="s">
        <v>15</v>
      </c>
      <c r="K26" s="20" t="s">
        <v>15</v>
      </c>
      <c r="L26" s="20" t="s">
        <v>15</v>
      </c>
      <c r="M26" s="20" t="s">
        <v>15</v>
      </c>
      <c r="N26" s="20" t="s">
        <v>15</v>
      </c>
      <c r="O26" s="20" t="s">
        <v>15</v>
      </c>
      <c r="P26" s="20" t="s">
        <v>15</v>
      </c>
      <c r="Q26" s="20" t="s">
        <v>15</v>
      </c>
      <c r="R26" s="20" t="s">
        <v>15</v>
      </c>
      <c r="S26" s="20" t="s">
        <v>15</v>
      </c>
      <c r="T26" s="20" t="s">
        <v>15</v>
      </c>
      <c r="U26" s="20" t="s">
        <v>15</v>
      </c>
      <c r="V26" s="20" t="s">
        <v>15</v>
      </c>
      <c r="W26" s="20" t="s">
        <v>15</v>
      </c>
      <c r="X26" s="20" t="s">
        <v>15</v>
      </c>
      <c r="Y26" s="20" t="s">
        <v>15</v>
      </c>
      <c r="Z26" s="20" t="s">
        <v>15</v>
      </c>
      <c r="AA26" s="20" t="s">
        <v>15</v>
      </c>
      <c r="AB26" s="21" t="s">
        <v>15</v>
      </c>
      <c r="AC26" s="19" t="s">
        <v>15</v>
      </c>
      <c r="AD26" s="20" t="s">
        <v>15</v>
      </c>
      <c r="AE26" s="20" t="s">
        <v>15</v>
      </c>
      <c r="AF26" s="20" t="s">
        <v>15</v>
      </c>
      <c r="AG26" s="19" t="s">
        <v>15</v>
      </c>
      <c r="AH26" s="20" t="s">
        <v>15</v>
      </c>
      <c r="AI26" s="21" t="s">
        <v>15</v>
      </c>
      <c r="AJ26" s="21" t="s">
        <v>15</v>
      </c>
    </row>
    <row r="27" spans="1:36" x14ac:dyDescent="0.35">
      <c r="A27" s="32">
        <v>45962</v>
      </c>
      <c r="B27" s="19" t="s">
        <v>15</v>
      </c>
      <c r="C27" s="20" t="s">
        <v>15</v>
      </c>
      <c r="D27" s="20" t="s">
        <v>15</v>
      </c>
      <c r="E27" s="20" t="s">
        <v>15</v>
      </c>
      <c r="F27" s="20" t="s">
        <v>15</v>
      </c>
      <c r="G27" s="20" t="s">
        <v>15</v>
      </c>
      <c r="H27" s="20" t="s">
        <v>15</v>
      </c>
      <c r="I27" s="20" t="s">
        <v>15</v>
      </c>
      <c r="J27" s="20" t="s">
        <v>15</v>
      </c>
      <c r="K27" s="20" t="s">
        <v>15</v>
      </c>
      <c r="L27" s="20" t="s">
        <v>15</v>
      </c>
      <c r="M27" s="20" t="s">
        <v>15</v>
      </c>
      <c r="N27" s="20" t="s">
        <v>15</v>
      </c>
      <c r="O27" s="20" t="s">
        <v>15</v>
      </c>
      <c r="P27" s="20" t="s">
        <v>15</v>
      </c>
      <c r="Q27" s="20" t="s">
        <v>15</v>
      </c>
      <c r="R27" s="20" t="s">
        <v>15</v>
      </c>
      <c r="S27" s="20" t="s">
        <v>15</v>
      </c>
      <c r="T27" s="20" t="s">
        <v>15</v>
      </c>
      <c r="U27" s="20" t="s">
        <v>15</v>
      </c>
      <c r="V27" s="20" t="s">
        <v>15</v>
      </c>
      <c r="W27" s="20" t="s">
        <v>15</v>
      </c>
      <c r="X27" s="20" t="s">
        <v>15</v>
      </c>
      <c r="Y27" s="20" t="s">
        <v>15</v>
      </c>
      <c r="Z27" s="20" t="s">
        <v>15</v>
      </c>
      <c r="AA27" s="20" t="s">
        <v>15</v>
      </c>
      <c r="AB27" s="21" t="s">
        <v>15</v>
      </c>
      <c r="AC27" s="19" t="s">
        <v>15</v>
      </c>
      <c r="AD27" s="20" t="s">
        <v>15</v>
      </c>
      <c r="AE27" s="20" t="s">
        <v>15</v>
      </c>
      <c r="AF27" s="20" t="s">
        <v>15</v>
      </c>
      <c r="AG27" s="19" t="s">
        <v>15</v>
      </c>
      <c r="AH27" s="20" t="s">
        <v>15</v>
      </c>
      <c r="AI27" s="21" t="s">
        <v>15</v>
      </c>
      <c r="AJ27" s="21" t="s">
        <v>15</v>
      </c>
    </row>
    <row r="28" spans="1:36" ht="15" thickBot="1" x14ac:dyDescent="0.4">
      <c r="A28" s="33">
        <v>45992</v>
      </c>
      <c r="B28" s="22">
        <f>SUM(Empresas!B17:B28)/SUM(Empresas!B5:B16)-1</f>
        <v>9.5891930599817155E-2</v>
      </c>
      <c r="C28" s="23">
        <f>SUM(Empresas!C17:C28)/SUM(Empresas!C5:C16)-1</f>
        <v>6.2901678553519025E-2</v>
      </c>
      <c r="D28" s="23">
        <f>SUM(Empresas!D17:D28)/SUM(Empresas!D5:D16)-1</f>
        <v>0.15619432526777244</v>
      </c>
      <c r="E28" s="23">
        <f>SUM(Empresas!E17:E28)/SUM(Empresas!E5:E16)-1</f>
        <v>9.0321809918555207E-2</v>
      </c>
      <c r="F28" s="23">
        <f>SUM(Empresas!F17:F28)/SUM(Empresas!F5:F16)-1</f>
        <v>7.3493321799522171E-2</v>
      </c>
      <c r="G28" s="23">
        <f>SUM(Empresas!G17:G28)/SUM(Empresas!G5:G16)-1</f>
        <v>7.6398908718899206E-2</v>
      </c>
      <c r="H28" s="23">
        <f>SUM(Empresas!H17:H28)/SUM(Empresas!H5:H16)-1</f>
        <v>0.10873178638099357</v>
      </c>
      <c r="I28" s="23">
        <f>SUM(Empresas!I17:I28)/SUM(Empresas!I5:I16)-1</f>
        <v>2.0477602600540212E-2</v>
      </c>
      <c r="J28" s="23">
        <f>SUM(Empresas!J17:J28)/SUM(Empresas!J5:J16)-1</f>
        <v>0.10280642724254152</v>
      </c>
      <c r="K28" s="23">
        <f>SUM(Empresas!K17:K28)/SUM(Empresas!K5:K16)-1</f>
        <v>8.0125504402802639E-2</v>
      </c>
      <c r="L28" s="23">
        <f>SUM(Empresas!L17:L28)/SUM(Empresas!L5:L16)-1</f>
        <v>9.1167870802561835E-2</v>
      </c>
      <c r="M28" s="23">
        <f>SUM(Empresas!M17:M28)/SUM(Empresas!M5:M16)-1</f>
        <v>0.21698317938142542</v>
      </c>
      <c r="N28" s="23">
        <f>SUM(Empresas!N17:N28)/SUM(Empresas!N5:N16)-1</f>
        <v>0.16242152621433759</v>
      </c>
      <c r="O28" s="23">
        <f>SUM(Empresas!O17:O28)/SUM(Empresas!O5:O16)-1</f>
        <v>0.13131830701113745</v>
      </c>
      <c r="P28" s="23">
        <f>SUM(Empresas!P17:P28)/SUM(Empresas!P5:P16)-1</f>
        <v>0.12236487253036521</v>
      </c>
      <c r="Q28" s="23">
        <f>SUM(Empresas!Q17:Q28)/SUM(Empresas!Q5:Q16)-1</f>
        <v>1.5552570611174321E-2</v>
      </c>
      <c r="R28" s="23">
        <f>SUM(Empresas!R17:R28)/SUM(Empresas!R5:R16)-1</f>
        <v>8.27387715709067E-2</v>
      </c>
      <c r="S28" s="23">
        <f>SUM(Empresas!S17:S28)/SUM(Empresas!S5:S16)-1</f>
        <v>0.12213999101680817</v>
      </c>
      <c r="T28" s="23">
        <f>SUM(Empresas!T17:T28)/SUM(Empresas!T5:T16)-1</f>
        <v>4.642986091299206E-2</v>
      </c>
      <c r="U28" s="23">
        <f>SUM(Empresas!U17:U28)/SUM(Empresas!U5:U16)-1</f>
        <v>0.11406157497599012</v>
      </c>
      <c r="V28" s="23">
        <f>SUM(Empresas!V17:V28)/SUM(Empresas!V5:V16)-1</f>
        <v>7.0395857457199895E-2</v>
      </c>
      <c r="W28" s="23">
        <f>SUM(Empresas!W17:W28)/SUM(Empresas!W5:W16)-1</f>
        <v>0.19048549172054008</v>
      </c>
      <c r="X28" s="23">
        <f>SUM(Empresas!X17:X28)/SUM(Empresas!X5:X16)-1</f>
        <v>0.11808948382061701</v>
      </c>
      <c r="Y28" s="23">
        <f>SUM(Empresas!Y17:Y28)/SUM(Empresas!Y5:Y16)-1</f>
        <v>0.14526715677629154</v>
      </c>
      <c r="Z28" s="23">
        <f>SUM(Empresas!Z17:Z28)/SUM(Empresas!Z5:Z16)-1</f>
        <v>0.10471156248783808</v>
      </c>
      <c r="AA28" s="23">
        <f>SUM(Empresas!AA17:AA28)/SUM(Empresas!AA5:AA16)-1</f>
        <v>9.0950341454177908E-2</v>
      </c>
      <c r="AB28" s="24">
        <f>SUM(Empresas!AB17:AB28)/SUM(Empresas!AB5:AB16)-1</f>
        <v>0.14110742684227895</v>
      </c>
      <c r="AC28" s="22">
        <f>SUM(Empresas!AC17:AC28)/SUM(Empresas!AC5:AC16)-1</f>
        <v>8.9463471463181676E-2</v>
      </c>
      <c r="AD28" s="23">
        <f>SUM(Empresas!AD17:AD28)/SUM(Empresas!AD5:AD16)-1</f>
        <v>9.085976130001594E-2</v>
      </c>
      <c r="AE28" s="23">
        <f>SUM(Empresas!AE17:AE28)/SUM(Empresas!AE5:AE16)-1</f>
        <v>5.6643352284234227E-2</v>
      </c>
      <c r="AF28" s="23">
        <f>SUM(Empresas!AF17:AF28)/SUM(Empresas!AF5:AF16)-1</f>
        <v>0.1486291187394444</v>
      </c>
      <c r="AG28" s="22">
        <f>SUM(Empresas!AG17:AG28)/SUM(Empresas!AG5:AG16)-1</f>
        <v>9.9631626498756898E-2</v>
      </c>
      <c r="AH28" s="23">
        <f>SUM(Empresas!AH17:AH28)/SUM(Empresas!AH5:AH16)-1</f>
        <v>5.5983196621739895E-2</v>
      </c>
      <c r="AI28" s="24">
        <f>SUM(Empresas!AI17:AI28)/SUM(Empresas!AI5:AI16)-1</f>
        <v>2.776296165029235E-2</v>
      </c>
      <c r="AJ28" s="24">
        <f>SUM(Empresas!AJ17:AJ28)/SUM(Empresas!AJ5:AJ16)-1</f>
        <v>9.8023130776432987E-2</v>
      </c>
    </row>
    <row r="29" spans="1:36" x14ac:dyDescent="0.35">
      <c r="A29" s="31">
        <v>46023</v>
      </c>
      <c r="B29" s="25">
        <f>SUM(Empresas!B18:B29)/SUM(Empresas!B6:B17)-1</f>
        <v>0.10145655098939321</v>
      </c>
      <c r="C29" s="26">
        <f>SUM(Empresas!C18:C29)/SUM(Empresas!C6:C17)-1</f>
        <v>7.1844463708067741E-2</v>
      </c>
      <c r="D29" s="26">
        <f>SUM(Empresas!D18:D29)/SUM(Empresas!D6:D17)-1</f>
        <v>0.16235841129051964</v>
      </c>
      <c r="E29" s="26">
        <f>SUM(Empresas!E18:E29)/SUM(Empresas!E6:E17)-1</f>
        <v>8.3941651764821934E-2</v>
      </c>
      <c r="F29" s="26">
        <f>SUM(Empresas!F18:F29)/SUM(Empresas!F6:F17)-1</f>
        <v>7.5906727958999554E-2</v>
      </c>
      <c r="G29" s="26">
        <f>SUM(Empresas!G18:G29)/SUM(Empresas!G6:G17)-1</f>
        <v>6.8561241881104573E-2</v>
      </c>
      <c r="H29" s="26">
        <f>SUM(Empresas!H18:H29)/SUM(Empresas!H6:H17)-1</f>
        <v>0.10912507495751833</v>
      </c>
      <c r="I29" s="26">
        <f>SUM(Empresas!I18:I29)/SUM(Empresas!I6:I17)-1</f>
        <v>2.2833398544584549E-2</v>
      </c>
      <c r="J29" s="26">
        <f>SUM(Empresas!J18:J29)/SUM(Empresas!J6:J17)-1</f>
        <v>0.10151691734123069</v>
      </c>
      <c r="K29" s="26">
        <f>SUM(Empresas!K18:K29)/SUM(Empresas!K6:K17)-1</f>
        <v>8.0285206300882761E-2</v>
      </c>
      <c r="L29" s="26">
        <f>SUM(Empresas!L18:L29)/SUM(Empresas!L6:L17)-1</f>
        <v>9.4207729701002885E-2</v>
      </c>
      <c r="M29" s="26">
        <f>SUM(Empresas!M18:M29)/SUM(Empresas!M6:M17)-1</f>
        <v>0.22414201563681879</v>
      </c>
      <c r="N29" s="26">
        <f>SUM(Empresas!N18:N29)/SUM(Empresas!N6:N17)-1</f>
        <v>0.15738745579374314</v>
      </c>
      <c r="O29" s="26">
        <f>SUM(Empresas!O18:O29)/SUM(Empresas!O6:O17)-1</f>
        <v>0.12540336023391396</v>
      </c>
      <c r="P29" s="26">
        <f>SUM(Empresas!P18:P29)/SUM(Empresas!P6:P17)-1</f>
        <v>0.13712715986614588</v>
      </c>
      <c r="Q29" s="26">
        <f>SUM(Empresas!Q18:Q29)/SUM(Empresas!Q6:Q17)-1</f>
        <v>2.0010095391833627E-2</v>
      </c>
      <c r="R29" s="26">
        <f>SUM(Empresas!R18:R29)/SUM(Empresas!R6:R17)-1</f>
        <v>9.0471814714720544E-2</v>
      </c>
      <c r="S29" s="26">
        <f>SUM(Empresas!S18:S29)/SUM(Empresas!S6:S17)-1</f>
        <v>0.11730611337106511</v>
      </c>
      <c r="T29" s="26">
        <f>SUM(Empresas!T18:T29)/SUM(Empresas!T6:T17)-1</f>
        <v>5.2668447089525117E-2</v>
      </c>
      <c r="U29" s="26">
        <f>SUM(Empresas!U18:U29)/SUM(Empresas!U6:U17)-1</f>
        <v>0.10069932988538932</v>
      </c>
      <c r="V29" s="26">
        <f>SUM(Empresas!V18:V29)/SUM(Empresas!V6:V17)-1</f>
        <v>7.4666592788672048E-2</v>
      </c>
      <c r="W29" s="26">
        <f>SUM(Empresas!W18:W29)/SUM(Empresas!W6:W17)-1</f>
        <v>0.20993196133783121</v>
      </c>
      <c r="X29" s="26">
        <f>SUM(Empresas!X18:X29)/SUM(Empresas!X6:X17)-1</f>
        <v>0.11408108424370056</v>
      </c>
      <c r="Y29" s="26">
        <f>SUM(Empresas!Y18:Y29)/SUM(Empresas!Y6:Y17)-1</f>
        <v>0.14173885513006224</v>
      </c>
      <c r="Z29" s="26">
        <f>SUM(Empresas!Z18:Z29)/SUM(Empresas!Z6:Z17)-1</f>
        <v>9.993492710151064E-2</v>
      </c>
      <c r="AA29" s="26">
        <f>SUM(Empresas!AA18:AA29)/SUM(Empresas!AA6:AA17)-1</f>
        <v>9.0459777303164568E-2</v>
      </c>
      <c r="AB29" s="27">
        <f>SUM(Empresas!AB18:AB29)/SUM(Empresas!AB6:AB17)-1</f>
        <v>0.14122985868992921</v>
      </c>
      <c r="AC29" s="25">
        <f>SUM(Empresas!AC18:AC29)/SUM(Empresas!AC6:AC17)-1</f>
        <v>9.5286804337645137E-2</v>
      </c>
      <c r="AD29" s="20">
        <f>SUM(Empresas!AD18:AD29)/SUM(Empresas!AD6:AD17)-1</f>
        <v>9.037463601014184E-2</v>
      </c>
      <c r="AE29" s="20">
        <f>SUM(Empresas!AE18:AE29)/SUM(Empresas!AE6:AE17)-1</f>
        <v>5.6265538498381229E-2</v>
      </c>
      <c r="AF29" s="20">
        <f>SUM(Empresas!AF18:AF29)/SUM(Empresas!AF6:AF17)-1</f>
        <v>0.14870264739205519</v>
      </c>
      <c r="AG29" s="25">
        <f>SUM(Empresas!AG18:AG29)/SUM(Empresas!AG6:AG17)-1</f>
        <v>9.9413561830854924E-2</v>
      </c>
      <c r="AH29" s="26">
        <f>SUM(Empresas!AH18:AH29)/SUM(Empresas!AH6:AH17)-1</f>
        <v>6.1762912964172134E-2</v>
      </c>
      <c r="AI29" s="27">
        <f>SUM(Empresas!AI18:AI29)/SUM(Empresas!AI6:AI17)-1</f>
        <v>3.6109748173963618E-2</v>
      </c>
      <c r="AJ29" s="28">
        <f>SUM(Empresas!AJ18:AJ29)/SUM(Empresas!AJ6:AJ17)-1</f>
        <v>9.8027163651094984E-2</v>
      </c>
    </row>
    <row r="30" spans="1:36" x14ac:dyDescent="0.35">
      <c r="A30" s="32">
        <v>46054</v>
      </c>
      <c r="B30" s="19">
        <f>SUM(Empresas!B19:B30)/SUM(Empresas!B7:B18)-1</f>
        <v>0.1129213057870091</v>
      </c>
      <c r="C30" s="20">
        <f>SUM(Empresas!C19:C30)/SUM(Empresas!C7:C18)-1</f>
        <v>8.2695042601963253E-2</v>
      </c>
      <c r="D30" s="20">
        <f>SUM(Empresas!D19:D30)/SUM(Empresas!D7:D18)-1</f>
        <v>0.16911562119904211</v>
      </c>
      <c r="E30" s="20">
        <f>SUM(Empresas!E19:E30)/SUM(Empresas!E7:E18)-1</f>
        <v>0.10505160996089336</v>
      </c>
      <c r="F30" s="20">
        <f>SUM(Empresas!F19:F30)/SUM(Empresas!F7:F18)-1</f>
        <v>7.4572477758361178E-2</v>
      </c>
      <c r="G30" s="20">
        <f>SUM(Empresas!G19:G30)/SUM(Empresas!G7:G18)-1</f>
        <v>6.1564914984087782E-2</v>
      </c>
      <c r="H30" s="20">
        <f>SUM(Empresas!H19:H30)/SUM(Empresas!H7:H18)-1</f>
        <v>0.11003754815147015</v>
      </c>
      <c r="I30" s="20">
        <f>SUM(Empresas!I19:I30)/SUM(Empresas!I7:I18)-1</f>
        <v>2.7794821787703983E-2</v>
      </c>
      <c r="J30" s="20">
        <f>SUM(Empresas!J19:J30)/SUM(Empresas!J7:J18)-1</f>
        <v>0.10377682786928499</v>
      </c>
      <c r="K30" s="20">
        <f>SUM(Empresas!K19:K30)/SUM(Empresas!K7:K18)-1</f>
        <v>7.3910333792063909E-2</v>
      </c>
      <c r="L30" s="20">
        <f>SUM(Empresas!L19:L30)/SUM(Empresas!L7:L18)-1</f>
        <v>9.5108314203581346E-2</v>
      </c>
      <c r="M30" s="20">
        <f>SUM(Empresas!M19:M30)/SUM(Empresas!M7:M18)-1</f>
        <v>0.23571327345755888</v>
      </c>
      <c r="N30" s="20">
        <f>SUM(Empresas!N19:N30)/SUM(Empresas!N7:N18)-1</f>
        <v>0.16834262622804563</v>
      </c>
      <c r="O30" s="20">
        <f>SUM(Empresas!O19:O30)/SUM(Empresas!O7:O18)-1</f>
        <v>0.12155292946174812</v>
      </c>
      <c r="P30" s="20">
        <f>SUM(Empresas!P19:P30)/SUM(Empresas!P7:P18)-1</f>
        <v>0.14526407929124896</v>
      </c>
      <c r="Q30" s="20">
        <f>SUM(Empresas!Q19:Q30)/SUM(Empresas!Q7:Q18)-1</f>
        <v>2.6898260296718934E-2</v>
      </c>
      <c r="R30" s="20">
        <f>SUM(Empresas!R19:R30)/SUM(Empresas!R7:R18)-1</f>
        <v>8.7112596918307528E-2</v>
      </c>
      <c r="S30" s="20">
        <f>SUM(Empresas!S19:S30)/SUM(Empresas!S7:S18)-1</f>
        <v>0.11827464288989442</v>
      </c>
      <c r="T30" s="20">
        <f>SUM(Empresas!T19:T30)/SUM(Empresas!T7:T18)-1</f>
        <v>4.9566546853612392E-2</v>
      </c>
      <c r="U30" s="20">
        <f>SUM(Empresas!U19:U30)/SUM(Empresas!U7:U18)-1</f>
        <v>9.4298091264779726E-2</v>
      </c>
      <c r="V30" s="20">
        <f>SUM(Empresas!V19:V30)/SUM(Empresas!V7:V18)-1</f>
        <v>9.5396957732253984E-2</v>
      </c>
      <c r="W30" s="20">
        <f>SUM(Empresas!W19:W30)/SUM(Empresas!W7:W18)-1</f>
        <v>0.21579380218661259</v>
      </c>
      <c r="X30" s="20">
        <f>SUM(Empresas!X19:X30)/SUM(Empresas!X7:X18)-1</f>
        <v>0.12238277102959327</v>
      </c>
      <c r="Y30" s="20">
        <f>SUM(Empresas!Y19:Y30)/SUM(Empresas!Y7:Y18)-1</f>
        <v>0.11071096012462345</v>
      </c>
      <c r="Z30" s="20">
        <f>SUM(Empresas!Z19:Z30)/SUM(Empresas!Z7:Z18)-1</f>
        <v>9.2375581701358511E-2</v>
      </c>
      <c r="AA30" s="20">
        <f>SUM(Empresas!AA19:AA30)/SUM(Empresas!AA7:AA18)-1</f>
        <v>8.4970489907613356E-2</v>
      </c>
      <c r="AB30" s="21">
        <f>SUM(Empresas!AB19:AB30)/SUM(Empresas!AB7:AB18)-1</f>
        <v>0.14657315155611261</v>
      </c>
      <c r="AC30" s="19">
        <f>SUM(Empresas!AC19:AC30)/SUM(Empresas!AC7:AC18)-1</f>
        <v>9.9201216639288381E-2</v>
      </c>
      <c r="AD30" s="20">
        <f>SUM(Empresas!AD19:AD30)/SUM(Empresas!AD7:AD18)-1</f>
        <v>8.4062298596208285E-2</v>
      </c>
      <c r="AE30" s="20">
        <f>SUM(Empresas!AE19:AE30)/SUM(Empresas!AE7:AE18)-1</f>
        <v>5.4442607463907278E-2</v>
      </c>
      <c r="AF30" s="20">
        <f>SUM(Empresas!AF19:AF30)/SUM(Empresas!AF7:AF18)-1</f>
        <v>0.14686358102125507</v>
      </c>
      <c r="AG30" s="19">
        <f>SUM(Empresas!AG19:AG30)/SUM(Empresas!AG7:AG18)-1</f>
        <v>9.6724130011045517E-2</v>
      </c>
      <c r="AH30" s="20">
        <f>SUM(Empresas!AH19:AH30)/SUM(Empresas!AH7:AH18)-1</f>
        <v>6.8987688251048951E-2</v>
      </c>
      <c r="AI30" s="21">
        <f>SUM(Empresas!AI19:AI30)/SUM(Empresas!AI7:AI18)-1</f>
        <v>4.9682012799628472E-2</v>
      </c>
      <c r="AJ30" s="21">
        <f>SUM(Empresas!AJ19:AJ30)/SUM(Empresas!AJ7:AJ18)-1</f>
        <v>9.5707969721948061E-2</v>
      </c>
    </row>
    <row r="31" spans="1:36" x14ac:dyDescent="0.35">
      <c r="A31" s="32">
        <v>46082</v>
      </c>
      <c r="B31" s="19">
        <f>SUM(Empresas!B20:B31)/SUM(Empresas!B8:B19)-1</f>
        <v>0.13136926086770351</v>
      </c>
      <c r="C31" s="20">
        <f>SUM(Empresas!C20:C31)/SUM(Empresas!C8:C19)-1</f>
        <v>0.10306258254833245</v>
      </c>
      <c r="D31" s="20">
        <f>SUM(Empresas!D20:D31)/SUM(Empresas!D8:D19)-1</f>
        <v>0.20220805316426116</v>
      </c>
      <c r="E31" s="20">
        <f>SUM(Empresas!E20:E31)/SUM(Empresas!E8:E19)-1</f>
        <v>0.11996675470238616</v>
      </c>
      <c r="F31" s="20">
        <f>SUM(Empresas!F20:F31)/SUM(Empresas!F8:F19)-1</f>
        <v>8.7258744799251442E-2</v>
      </c>
      <c r="G31" s="20">
        <f>SUM(Empresas!G20:G31)/SUM(Empresas!G8:G19)-1</f>
        <v>7.6543787874218339E-2</v>
      </c>
      <c r="H31" s="20">
        <f>SUM(Empresas!H20:H31)/SUM(Empresas!H8:H19)-1</f>
        <v>0.12396618783345859</v>
      </c>
      <c r="I31" s="20">
        <f>SUM(Empresas!I20:I31)/SUM(Empresas!I8:I19)-1</f>
        <v>7.1329787272337297E-2</v>
      </c>
      <c r="J31" s="20">
        <f>SUM(Empresas!J20:J31)/SUM(Empresas!J8:J19)-1</f>
        <v>0.11644624878424392</v>
      </c>
      <c r="K31" s="20">
        <f>SUM(Empresas!K20:K31)/SUM(Empresas!K8:K19)-1</f>
        <v>9.1153425931060239E-2</v>
      </c>
      <c r="L31" s="20">
        <f>SUM(Empresas!L20:L31)/SUM(Empresas!L8:L19)-1</f>
        <v>0.10752063373067955</v>
      </c>
      <c r="M31" s="20">
        <f>SUM(Empresas!M20:M31)/SUM(Empresas!M8:M19)-1</f>
        <v>0.24287691534171785</v>
      </c>
      <c r="N31" s="20">
        <f>SUM(Empresas!N20:N31)/SUM(Empresas!N8:N19)-1</f>
        <v>0.16725133048886764</v>
      </c>
      <c r="O31" s="20">
        <f>SUM(Empresas!O20:O31)/SUM(Empresas!O8:O19)-1</f>
        <v>0.12938884049499255</v>
      </c>
      <c r="P31" s="20">
        <f>SUM(Empresas!P20:P31)/SUM(Empresas!P8:P19)-1</f>
        <v>0.16542039539381559</v>
      </c>
      <c r="Q31" s="20">
        <f>SUM(Empresas!Q20:Q31)/SUM(Empresas!Q8:Q19)-1</f>
        <v>4.5841192756212346E-2</v>
      </c>
      <c r="R31" s="20">
        <f>SUM(Empresas!R20:R31)/SUM(Empresas!R8:R19)-1</f>
        <v>9.9439251095042813E-2</v>
      </c>
      <c r="S31" s="20">
        <f>SUM(Empresas!S20:S31)/SUM(Empresas!S8:S19)-1</f>
        <v>0.11342606672204369</v>
      </c>
      <c r="T31" s="20">
        <f>SUM(Empresas!T20:T31)/SUM(Empresas!T8:T19)-1</f>
        <v>7.7268867581150591E-2</v>
      </c>
      <c r="U31" s="20">
        <f>SUM(Empresas!U20:U31)/SUM(Empresas!U8:U19)-1</f>
        <v>7.9293974848876125E-2</v>
      </c>
      <c r="V31" s="20">
        <f>SUM(Empresas!V20:V31)/SUM(Empresas!V8:V19)-1</f>
        <v>9.8917848643279349E-2</v>
      </c>
      <c r="W31" s="20">
        <f>SUM(Empresas!W20:W31)/SUM(Empresas!W8:W19)-1</f>
        <v>0.23743146345048061</v>
      </c>
      <c r="X31" s="20">
        <f>SUM(Empresas!X20:X31)/SUM(Empresas!X8:X19)-1</f>
        <v>0.11675871575230068</v>
      </c>
      <c r="Y31" s="20">
        <f>SUM(Empresas!Y20:Y31)/SUM(Empresas!Y8:Y19)-1</f>
        <v>7.6737669454717494E-2</v>
      </c>
      <c r="Z31" s="20">
        <f>SUM(Empresas!Z20:Z31)/SUM(Empresas!Z8:Z19)-1</f>
        <v>9.8868423348428935E-2</v>
      </c>
      <c r="AA31" s="20">
        <f>SUM(Empresas!AA20:AA31)/SUM(Empresas!AA8:AA19)-1</f>
        <v>0.10196227104313649</v>
      </c>
      <c r="AB31" s="21">
        <f>SUM(Empresas!AB20:AB31)/SUM(Empresas!AB8:AB19)-1</f>
        <v>0.15695249598393701</v>
      </c>
      <c r="AC31" s="19">
        <f>SUM(Empresas!AC20:AC31)/SUM(Empresas!AC8:AC19)-1</f>
        <v>0.11397489812669037</v>
      </c>
      <c r="AD31" s="20">
        <f>SUM(Empresas!AD20:AD31)/SUM(Empresas!AD8:AD19)-1</f>
        <v>8.7608941802211016E-2</v>
      </c>
      <c r="AE31" s="20">
        <f>SUM(Empresas!AE20:AE31)/SUM(Empresas!AE8:AE19)-1</f>
        <v>6.4636971783520236E-2</v>
      </c>
      <c r="AF31" s="20">
        <f>SUM(Empresas!AF20:AF31)/SUM(Empresas!AF8:AF19)-1</f>
        <v>0.15711345135135768</v>
      </c>
      <c r="AG31" s="19">
        <f>SUM(Empresas!AG20:AG31)/SUM(Empresas!AG8:AG19)-1</f>
        <v>0.10604669565649094</v>
      </c>
      <c r="AH31" s="20">
        <f>SUM(Empresas!AH20:AH31)/SUM(Empresas!AH8:AH19)-1</f>
        <v>7.5143358986946129E-2</v>
      </c>
      <c r="AI31" s="21">
        <f>SUM(Empresas!AI20:AI31)/SUM(Empresas!AI8:AI19)-1</f>
        <v>6.1707920764170865E-2</v>
      </c>
      <c r="AJ31" s="21">
        <f>SUM(Empresas!AJ20:AJ31)/SUM(Empresas!AJ8:AJ19)-1</f>
        <v>0.10499572702808813</v>
      </c>
    </row>
    <row r="32" spans="1:36" x14ac:dyDescent="0.35">
      <c r="A32" s="32">
        <v>46113</v>
      </c>
      <c r="B32" s="19">
        <f>SUM(Empresas!B21:B32)/SUM(Empresas!B9:B20)-1</f>
        <v>0.13147795654574979</v>
      </c>
      <c r="C32" s="20">
        <f>SUM(Empresas!C21:C32)/SUM(Empresas!C9:C20)-1</f>
        <v>0.11114135805061331</v>
      </c>
      <c r="D32" s="20">
        <f>SUM(Empresas!D21:D32)/SUM(Empresas!D9:D20)-1</f>
        <v>0.20771769755208713</v>
      </c>
      <c r="E32" s="20">
        <f>SUM(Empresas!E21:E32)/SUM(Empresas!E9:E20)-1</f>
        <v>0.11691887476312957</v>
      </c>
      <c r="F32" s="20">
        <f>SUM(Empresas!F21:F32)/SUM(Empresas!F9:F20)-1</f>
        <v>9.1824555093486415E-2</v>
      </c>
      <c r="G32" s="20">
        <f>SUM(Empresas!G21:G32)/SUM(Empresas!G9:G20)-1</f>
        <v>8.9625259986745309E-2</v>
      </c>
      <c r="H32" s="20">
        <f>SUM(Empresas!H21:H32)/SUM(Empresas!H9:H20)-1</f>
        <v>0.11120969946134851</v>
      </c>
      <c r="I32" s="20">
        <f>SUM(Empresas!I21:I32)/SUM(Empresas!I9:I20)-1</f>
        <v>6.6092335054220408E-2</v>
      </c>
      <c r="J32" s="20">
        <f>SUM(Empresas!J21:J32)/SUM(Empresas!J9:J20)-1</f>
        <v>0.12058272440026885</v>
      </c>
      <c r="K32" s="20">
        <f>SUM(Empresas!K21:K32)/SUM(Empresas!K9:K20)-1</f>
        <v>9.4786638380136568E-2</v>
      </c>
      <c r="L32" s="20">
        <f>SUM(Empresas!L21:L32)/SUM(Empresas!L9:L20)-1</f>
        <v>0.1108378580514533</v>
      </c>
      <c r="M32" s="20">
        <f>SUM(Empresas!M21:M32)/SUM(Empresas!M9:M20)-1</f>
        <v>0.24117628053105</v>
      </c>
      <c r="N32" s="20">
        <f>SUM(Empresas!N21:N32)/SUM(Empresas!N9:N20)-1</f>
        <v>0.16793514287231814</v>
      </c>
      <c r="O32" s="20">
        <f>SUM(Empresas!O21:O32)/SUM(Empresas!O9:O20)-1</f>
        <v>0.12915047130398949</v>
      </c>
      <c r="P32" s="20">
        <f>SUM(Empresas!P21:P32)/SUM(Empresas!P9:P20)-1</f>
        <v>0.17662316425553715</v>
      </c>
      <c r="Q32" s="20">
        <f>SUM(Empresas!Q21:Q32)/SUM(Empresas!Q9:Q20)-1</f>
        <v>5.8209624617477029E-2</v>
      </c>
      <c r="R32" s="20">
        <f>SUM(Empresas!R21:R32)/SUM(Empresas!R9:R20)-1</f>
        <v>0.10602217817567161</v>
      </c>
      <c r="S32" s="20">
        <f>SUM(Empresas!S21:S32)/SUM(Empresas!S9:S20)-1</f>
        <v>0.11550002846551632</v>
      </c>
      <c r="T32" s="20">
        <f>SUM(Empresas!T21:T32)/SUM(Empresas!T9:T20)-1</f>
        <v>4.8498995800477562E-2</v>
      </c>
      <c r="U32" s="20">
        <f>SUM(Empresas!U21:U32)/SUM(Empresas!U9:U20)-1</f>
        <v>8.091208202489053E-2</v>
      </c>
      <c r="V32" s="20">
        <f>SUM(Empresas!V21:V32)/SUM(Empresas!V9:V20)-1</f>
        <v>0.10577918895938798</v>
      </c>
      <c r="W32" s="20">
        <f>SUM(Empresas!W21:W32)/SUM(Empresas!W9:W20)-1</f>
        <v>0.24259483846326346</v>
      </c>
      <c r="X32" s="20">
        <f>SUM(Empresas!X21:X32)/SUM(Empresas!X9:X20)-1</f>
        <v>0.12029440438535888</v>
      </c>
      <c r="Y32" s="20">
        <f>SUM(Empresas!Y21:Y32)/SUM(Empresas!Y9:Y20)-1</f>
        <v>7.6804640204379604E-2</v>
      </c>
      <c r="Z32" s="20">
        <f>SUM(Empresas!Z21:Z32)/SUM(Empresas!Z9:Z20)-1</f>
        <v>0.10042691058252262</v>
      </c>
      <c r="AA32" s="20">
        <f>SUM(Empresas!AA21:AA32)/SUM(Empresas!AA9:AA20)-1</f>
        <v>0.11538460248961568</v>
      </c>
      <c r="AB32" s="21">
        <f>SUM(Empresas!AB21:AB32)/SUM(Empresas!AB9:AB20)-1</f>
        <v>0.15841065251839148</v>
      </c>
      <c r="AC32" s="19">
        <f>SUM(Empresas!AC21:AC32)/SUM(Empresas!AC9:AC20)-1</f>
        <v>0.13791941696247845</v>
      </c>
      <c r="AD32" s="20">
        <f>SUM(Empresas!AD21:AD32)/SUM(Empresas!AD9:AD20)-1</f>
        <v>8.8767601547366848E-2</v>
      </c>
      <c r="AE32" s="20">
        <f>SUM(Empresas!AE21:AE32)/SUM(Empresas!AE9:AE20)-1</f>
        <v>6.8508419516806196E-2</v>
      </c>
      <c r="AF32" s="20">
        <f>SUM(Empresas!AF21:AF32)/SUM(Empresas!AF9:AF20)-1</f>
        <v>0.16055692667623056</v>
      </c>
      <c r="AG32" s="19">
        <f>SUM(Empresas!AG21:AG32)/SUM(Empresas!AG9:AG20)-1</f>
        <v>0.10976453438730616</v>
      </c>
      <c r="AH32" s="20">
        <f>SUM(Empresas!AH21:AH32)/SUM(Empresas!AH9:AH20)-1</f>
        <v>7.4277172117708012E-2</v>
      </c>
      <c r="AI32" s="21">
        <f>SUM(Empresas!AI21:AI32)/SUM(Empresas!AI9:AI20)-1</f>
        <v>6.5647696850509307E-2</v>
      </c>
      <c r="AJ32" s="21">
        <f>SUM(Empresas!AJ21:AJ32)/SUM(Empresas!AJ9:AJ20)-1</f>
        <v>0.10862061102164344</v>
      </c>
    </row>
    <row r="33" spans="1:36" x14ac:dyDescent="0.35">
      <c r="A33" s="32">
        <v>46143</v>
      </c>
      <c r="B33" s="19">
        <f>SUM(Empresas!B22:B33)/SUM(Empresas!B10:B21)-1</f>
        <v>0.1147258689831836</v>
      </c>
      <c r="C33" s="20">
        <f>SUM(Empresas!C22:C33)/SUM(Empresas!C10:C21)-1</f>
        <v>9.6238552055265991E-2</v>
      </c>
      <c r="D33" s="20">
        <f>SUM(Empresas!D22:D33)/SUM(Empresas!D10:D21)-1</f>
        <v>0.19055721376838464</v>
      </c>
      <c r="E33" s="20">
        <f>SUM(Empresas!E22:E33)/SUM(Empresas!E10:E21)-1</f>
        <v>0.11774236532210236</v>
      </c>
      <c r="F33" s="20">
        <f>SUM(Empresas!F22:F33)/SUM(Empresas!F10:F21)-1</f>
        <v>7.7449869531006632E-2</v>
      </c>
      <c r="G33" s="20">
        <f>SUM(Empresas!G22:G33)/SUM(Empresas!G10:G21)-1</f>
        <v>8.1709546737630312E-2</v>
      </c>
      <c r="H33" s="20">
        <f>SUM(Empresas!H22:H33)/SUM(Empresas!H10:H21)-1</f>
        <v>9.5780482082397533E-2</v>
      </c>
      <c r="I33" s="20">
        <f>SUM(Empresas!I22:I33)/SUM(Empresas!I10:I21)-1</f>
        <v>3.7855701960617161E-2</v>
      </c>
      <c r="J33" s="20">
        <f>SUM(Empresas!J22:J33)/SUM(Empresas!J10:J21)-1</f>
        <v>0.10180008592795531</v>
      </c>
      <c r="K33" s="20">
        <f>SUM(Empresas!K22:K33)/SUM(Empresas!K10:K21)-1</f>
        <v>8.3535482161449126E-2</v>
      </c>
      <c r="L33" s="20">
        <f>SUM(Empresas!L22:L33)/SUM(Empresas!L10:L21)-1</f>
        <v>9.7636819249277806E-2</v>
      </c>
      <c r="M33" s="20">
        <f>SUM(Empresas!M22:M33)/SUM(Empresas!M10:M21)-1</f>
        <v>0.23467501753689279</v>
      </c>
      <c r="N33" s="20">
        <f>SUM(Empresas!N22:N33)/SUM(Empresas!N10:N21)-1</f>
        <v>0.14157181874763247</v>
      </c>
      <c r="O33" s="20">
        <f>SUM(Empresas!O22:O33)/SUM(Empresas!O10:O21)-1</f>
        <v>0.1122845571449389</v>
      </c>
      <c r="P33" s="20">
        <f>SUM(Empresas!P22:P33)/SUM(Empresas!P10:P21)-1</f>
        <v>0.1762219501481026</v>
      </c>
      <c r="Q33" s="20">
        <f>SUM(Empresas!Q22:Q33)/SUM(Empresas!Q10:Q21)-1</f>
        <v>4.8754925468580179E-2</v>
      </c>
      <c r="R33" s="20">
        <f>SUM(Empresas!R22:R33)/SUM(Empresas!R10:R21)-1</f>
        <v>9.3380174643055591E-2</v>
      </c>
      <c r="S33" s="20">
        <f>SUM(Empresas!S22:S33)/SUM(Empresas!S10:S21)-1</f>
        <v>0.10621705202497056</v>
      </c>
      <c r="T33" s="20">
        <f>SUM(Empresas!T22:T33)/SUM(Empresas!T10:T21)-1</f>
        <v>6.1108407772603179E-4</v>
      </c>
      <c r="U33" s="20">
        <f>SUM(Empresas!U22:U33)/SUM(Empresas!U10:U21)-1</f>
        <v>6.6336515191887768E-2</v>
      </c>
      <c r="V33" s="20">
        <f>SUM(Empresas!V22:V33)/SUM(Empresas!V10:V21)-1</f>
        <v>0.10141451238672672</v>
      </c>
      <c r="W33" s="20">
        <f>SUM(Empresas!W22:W33)/SUM(Empresas!W10:W21)-1</f>
        <v>0.23104141312655702</v>
      </c>
      <c r="X33" s="20">
        <f>SUM(Empresas!X22:X33)/SUM(Empresas!X10:X21)-1</f>
        <v>9.4191462624300337E-2</v>
      </c>
      <c r="Y33" s="20">
        <f>SUM(Empresas!Y22:Y33)/SUM(Empresas!Y10:Y21)-1</f>
        <v>6.7618272732776763E-2</v>
      </c>
      <c r="Z33" s="20">
        <f>SUM(Empresas!Z22:Z33)/SUM(Empresas!Z10:Z21)-1</f>
        <v>8.7080405451960274E-2</v>
      </c>
      <c r="AA33" s="20">
        <f>SUM(Empresas!AA22:AA33)/SUM(Empresas!AA10:AA21)-1</f>
        <v>0.11281380768537286</v>
      </c>
      <c r="AB33" s="21">
        <f>SUM(Empresas!AB22:AB33)/SUM(Empresas!AB10:AB21)-1</f>
        <v>0.14687566919053507</v>
      </c>
      <c r="AC33" s="19">
        <f>SUM(Empresas!AC22:AC33)/SUM(Empresas!AC10:AC21)-1</f>
        <v>0.12542602972566064</v>
      </c>
      <c r="AD33" s="20">
        <f>SUM(Empresas!AD22:AD33)/SUM(Empresas!AD10:AD21)-1</f>
        <v>7.809988258439593E-2</v>
      </c>
      <c r="AE33" s="20">
        <f>SUM(Empresas!AE22:AE33)/SUM(Empresas!AE10:AE21)-1</f>
        <v>5.4755653446505237E-2</v>
      </c>
      <c r="AF33" s="20">
        <f>SUM(Empresas!AF22:AF33)/SUM(Empresas!AF10:AF21)-1</f>
        <v>0.14548078067597059</v>
      </c>
      <c r="AG33" s="19">
        <f>SUM(Empresas!AG22:AG33)/SUM(Empresas!AG10:AG21)-1</f>
        <v>9.5756197675689325E-2</v>
      </c>
      <c r="AH33" s="20">
        <f>SUM(Empresas!AH22:AH33)/SUM(Empresas!AH10:AH21)-1</f>
        <v>7.0653245252201069E-2</v>
      </c>
      <c r="AI33" s="21">
        <f>SUM(Empresas!AI22:AI33)/SUM(Empresas!AI10:AI21)-1</f>
        <v>6.9020143179764348E-2</v>
      </c>
      <c r="AJ33" s="21">
        <f>SUM(Empresas!AJ22:AJ33)/SUM(Empresas!AJ10:AJ21)-1</f>
        <v>9.4995096220224617E-2</v>
      </c>
    </row>
    <row r="34" spans="1:36" x14ac:dyDescent="0.35">
      <c r="A34" s="32">
        <v>46174</v>
      </c>
      <c r="B34" s="19">
        <f>SUM(Empresas!B23:B34)/SUM(Empresas!B11:B22)-1</f>
        <v>9.8815496470767705E-2</v>
      </c>
      <c r="C34" s="20">
        <f>SUM(Empresas!C23:C34)/SUM(Empresas!C11:C22)-1</f>
        <v>0.10842611048298711</v>
      </c>
      <c r="D34" s="20">
        <f>SUM(Empresas!D23:D34)/SUM(Empresas!D11:D22)-1</f>
        <v>0.16526580290544257</v>
      </c>
      <c r="E34" s="20">
        <f>SUM(Empresas!E23:E34)/SUM(Empresas!E11:E22)-1</f>
        <v>0.1052235886995263</v>
      </c>
      <c r="F34" s="20">
        <f>SUM(Empresas!F23:F34)/SUM(Empresas!F11:F22)-1</f>
        <v>8.1589342523208819E-2</v>
      </c>
      <c r="G34" s="20">
        <f>SUM(Empresas!G23:G34)/SUM(Empresas!G11:G22)-1</f>
        <v>7.829364476253442E-2</v>
      </c>
      <c r="H34" s="20">
        <f>SUM(Empresas!H23:H34)/SUM(Empresas!H11:H22)-1</f>
        <v>8.9945331540207896E-2</v>
      </c>
      <c r="I34" s="20">
        <f>SUM(Empresas!I23:I34)/SUM(Empresas!I11:I22)-1</f>
        <v>3.3340094760372807E-2</v>
      </c>
      <c r="J34" s="20">
        <f>SUM(Empresas!J23:J34)/SUM(Empresas!J11:J22)-1</f>
        <v>9.5542754582158329E-2</v>
      </c>
      <c r="K34" s="20">
        <f>SUM(Empresas!K23:K34)/SUM(Empresas!K11:K22)-1</f>
        <v>8.7323130612744881E-2</v>
      </c>
      <c r="L34" s="20">
        <f>SUM(Empresas!L23:L34)/SUM(Empresas!L11:L22)-1</f>
        <v>0.10009313216854765</v>
      </c>
      <c r="M34" s="20">
        <f>SUM(Empresas!M23:M34)/SUM(Empresas!M11:M22)-1</f>
        <v>0.2326511310214896</v>
      </c>
      <c r="N34" s="20">
        <f>SUM(Empresas!N23:N34)/SUM(Empresas!N11:N22)-1</f>
        <v>0.12938132748382292</v>
      </c>
      <c r="O34" s="20">
        <f>SUM(Empresas!O23:O34)/SUM(Empresas!O11:O22)-1</f>
        <v>0.10110295723992957</v>
      </c>
      <c r="P34" s="20">
        <f>SUM(Empresas!P23:P34)/SUM(Empresas!P11:P22)-1</f>
        <v>0.17261082258656391</v>
      </c>
      <c r="Q34" s="20">
        <f>SUM(Empresas!Q23:Q34)/SUM(Empresas!Q11:Q22)-1</f>
        <v>5.012820504136184E-2</v>
      </c>
      <c r="R34" s="20">
        <f>SUM(Empresas!R23:R34)/SUM(Empresas!R11:R22)-1</f>
        <v>9.5516949079042623E-2</v>
      </c>
      <c r="S34" s="20">
        <f>SUM(Empresas!S23:S34)/SUM(Empresas!S11:S22)-1</f>
        <v>0.10439649073484869</v>
      </c>
      <c r="T34" s="20">
        <f>SUM(Empresas!T23:T34)/SUM(Empresas!T11:T22)-1</f>
        <v>-4.4958964400327872E-3</v>
      </c>
      <c r="U34" s="20">
        <f>SUM(Empresas!U23:U34)/SUM(Empresas!U11:U22)-1</f>
        <v>6.3908116083358557E-2</v>
      </c>
      <c r="V34" s="20">
        <f>SUM(Empresas!V23:V34)/SUM(Empresas!V11:V22)-1</f>
        <v>0.10260423403613261</v>
      </c>
      <c r="W34" s="20">
        <f>SUM(Empresas!W23:W34)/SUM(Empresas!W11:W22)-1</f>
        <v>0.21868332017179837</v>
      </c>
      <c r="X34" s="20">
        <f>SUM(Empresas!X23:X34)/SUM(Empresas!X11:X22)-1</f>
        <v>8.4636306675408557E-2</v>
      </c>
      <c r="Y34" s="20">
        <f>SUM(Empresas!Y23:Y34)/SUM(Empresas!Y11:Y22)-1</f>
        <v>6.9752951950724951E-2</v>
      </c>
      <c r="Z34" s="20">
        <f>SUM(Empresas!Z23:Z34)/SUM(Empresas!Z11:Z22)-1</f>
        <v>8.2992457501346761E-2</v>
      </c>
      <c r="AA34" s="20">
        <f>SUM(Empresas!AA23:AA34)/SUM(Empresas!AA11:AA22)-1</f>
        <v>0.10727074321415708</v>
      </c>
      <c r="AB34" s="21">
        <f>SUM(Empresas!AB23:AB34)/SUM(Empresas!AB11:AB22)-1</f>
        <v>0.13599720370779766</v>
      </c>
      <c r="AC34" s="19">
        <f>SUM(Empresas!AC23:AC34)/SUM(Empresas!AC11:AC22)-1</f>
        <v>0.12950177930601492</v>
      </c>
      <c r="AD34" s="20">
        <f>SUM(Empresas!AD23:AD34)/SUM(Empresas!AD11:AD22)-1</f>
        <v>7.4859391532585251E-2</v>
      </c>
      <c r="AE34" s="20">
        <f>SUM(Empresas!AE23:AE34)/SUM(Empresas!AE11:AE22)-1</f>
        <v>5.259348602697389E-2</v>
      </c>
      <c r="AF34" s="20">
        <f>SUM(Empresas!AF23:AF34)/SUM(Empresas!AF11:AF22)-1</f>
        <v>0.13996088325739153</v>
      </c>
      <c r="AG34" s="19">
        <f>SUM(Empresas!AG23:AG34)/SUM(Empresas!AG11:AG22)-1</f>
        <v>9.2122512832139014E-2</v>
      </c>
      <c r="AH34" s="20">
        <f>SUM(Empresas!AH23:AH34)/SUM(Empresas!AH11:AH22)-1</f>
        <v>7.4084429310873112E-2</v>
      </c>
      <c r="AI34" s="21">
        <f>SUM(Empresas!AI23:AI34)/SUM(Empresas!AI11:AI22)-1</f>
        <v>7.7972467430623915E-2</v>
      </c>
      <c r="AJ34" s="21">
        <f>SUM(Empresas!AJ23:AJ34)/SUM(Empresas!AJ11:AJ22)-1</f>
        <v>9.1626044456054379E-2</v>
      </c>
    </row>
    <row r="35" spans="1:36" x14ac:dyDescent="0.35">
      <c r="A35" s="32">
        <v>46204</v>
      </c>
      <c r="B35" s="19">
        <f>SUM(Empresas!B24:B35)/SUM(Empresas!B12:B23)-1</f>
        <v>9.883006805010397E-2</v>
      </c>
      <c r="C35" s="20">
        <f>SUM(Empresas!C24:C35)/SUM(Empresas!C12:C23)-1</f>
        <v>0.11837839938929373</v>
      </c>
      <c r="D35" s="20">
        <f>SUM(Empresas!D24:D35)/SUM(Empresas!D12:D23)-1</f>
        <v>0.14517390198279734</v>
      </c>
      <c r="E35" s="20">
        <f>SUM(Empresas!E24:E35)/SUM(Empresas!E12:E23)-1</f>
        <v>0.11222889275947523</v>
      </c>
      <c r="F35" s="20">
        <f>SUM(Empresas!F24:F35)/SUM(Empresas!F12:F23)-1</f>
        <v>9.228522925952265E-2</v>
      </c>
      <c r="G35" s="20">
        <f>SUM(Empresas!G24:G35)/SUM(Empresas!G12:G23)-1</f>
        <v>8.6362009802850359E-2</v>
      </c>
      <c r="H35" s="20">
        <f>SUM(Empresas!H24:H35)/SUM(Empresas!H12:H23)-1</f>
        <v>0.12221009599254828</v>
      </c>
      <c r="I35" s="20">
        <f>SUM(Empresas!I24:I35)/SUM(Empresas!I12:I23)-1</f>
        <v>6.1902155770463096E-2</v>
      </c>
      <c r="J35" s="20">
        <f>SUM(Empresas!J24:J35)/SUM(Empresas!J12:J23)-1</f>
        <v>0.11141378568654914</v>
      </c>
      <c r="K35" s="20">
        <f>SUM(Empresas!K24:K35)/SUM(Empresas!K12:K23)-1</f>
        <v>8.8565706996710292E-2</v>
      </c>
      <c r="L35" s="20">
        <f>SUM(Empresas!L24:L35)/SUM(Empresas!L12:L23)-1</f>
        <v>0.11899717113731656</v>
      </c>
      <c r="M35" s="20">
        <f>SUM(Empresas!M24:M35)/SUM(Empresas!M12:M23)-1</f>
        <v>0.27801925376645942</v>
      </c>
      <c r="N35" s="20">
        <f>SUM(Empresas!N24:N35)/SUM(Empresas!N12:N23)-1</f>
        <v>0.14438664921874733</v>
      </c>
      <c r="O35" s="20">
        <f>SUM(Empresas!O24:O35)/SUM(Empresas!O12:O23)-1</f>
        <v>9.8259687601203405E-2</v>
      </c>
      <c r="P35" s="20">
        <f>SUM(Empresas!P24:P35)/SUM(Empresas!P12:P23)-1</f>
        <v>0.18639228709057098</v>
      </c>
      <c r="Q35" s="20">
        <f>SUM(Empresas!Q24:Q35)/SUM(Empresas!Q12:Q23)-1</f>
        <v>6.7544195273233854E-2</v>
      </c>
      <c r="R35" s="20">
        <f>SUM(Empresas!R24:R35)/SUM(Empresas!R12:R23)-1</f>
        <v>0.1016937981907069</v>
      </c>
      <c r="S35" s="20">
        <f>SUM(Empresas!S24:S35)/SUM(Empresas!S12:S23)-1</f>
        <v>0.11353572800539768</v>
      </c>
      <c r="T35" s="20">
        <f>SUM(Empresas!T24:T35)/SUM(Empresas!T12:T23)-1</f>
        <v>2.1857861301518122E-2</v>
      </c>
      <c r="U35" s="20">
        <f>SUM(Empresas!U24:U35)/SUM(Empresas!U12:U23)-1</f>
        <v>7.5594631588837613E-2</v>
      </c>
      <c r="V35" s="20">
        <f>SUM(Empresas!V24:V35)/SUM(Empresas!V12:V23)-1</f>
        <v>0.10181386904882506</v>
      </c>
      <c r="W35" s="20">
        <f>SUM(Empresas!W24:W35)/SUM(Empresas!W12:W23)-1</f>
        <v>0.21869579777054038</v>
      </c>
      <c r="X35" s="20">
        <f>SUM(Empresas!X24:X35)/SUM(Empresas!X12:X23)-1</f>
        <v>9.0728085529029334E-2</v>
      </c>
      <c r="Y35" s="20">
        <f>SUM(Empresas!Y24:Y35)/SUM(Empresas!Y12:Y23)-1</f>
        <v>7.4907583355165785E-2</v>
      </c>
      <c r="Z35" s="20">
        <f>SUM(Empresas!Z24:Z35)/SUM(Empresas!Z12:Z23)-1</f>
        <v>9.0468577249682269E-2</v>
      </c>
      <c r="AA35" s="20">
        <f>SUM(Empresas!AA24:AA35)/SUM(Empresas!AA12:AA23)-1</f>
        <v>0.11740233137561429</v>
      </c>
      <c r="AB35" s="21">
        <f>SUM(Empresas!AB24:AB35)/SUM(Empresas!AB12:AB23)-1</f>
        <v>0.13544581444831705</v>
      </c>
      <c r="AC35" s="19">
        <f>SUM(Empresas!AC24:AC35)/SUM(Empresas!AC12:AC23)-1</f>
        <v>0.14620973480610733</v>
      </c>
      <c r="AD35" s="20">
        <f>SUM(Empresas!AD24:AD35)/SUM(Empresas!AD12:AD23)-1</f>
        <v>8.1589627191932301E-2</v>
      </c>
      <c r="AE35" s="20">
        <f>SUM(Empresas!AE24:AE35)/SUM(Empresas!AE12:AE23)-1</f>
        <v>6.0080913232692934E-2</v>
      </c>
      <c r="AF35" s="20">
        <f>SUM(Empresas!AF24:AF35)/SUM(Empresas!AF12:AF23)-1</f>
        <v>0.15950257789157507</v>
      </c>
      <c r="AG35" s="19">
        <f>SUM(Empresas!AG24:AG35)/SUM(Empresas!AG12:AG23)-1</f>
        <v>0.10483056603535901</v>
      </c>
      <c r="AH35" s="20">
        <f>SUM(Empresas!AH24:AH35)/SUM(Empresas!AH12:AH23)-1</f>
        <v>7.2594121320509464E-2</v>
      </c>
      <c r="AI35" s="21">
        <f>SUM(Empresas!AI24:AI35)/SUM(Empresas!AI12:AI23)-1</f>
        <v>8.452495626821821E-2</v>
      </c>
      <c r="AJ35" s="21">
        <f>SUM(Empresas!AJ24:AJ35)/SUM(Empresas!AJ12:AJ23)-1</f>
        <v>0.10398860449513925</v>
      </c>
    </row>
    <row r="36" spans="1:36" x14ac:dyDescent="0.35">
      <c r="A36" s="32">
        <v>46235</v>
      </c>
      <c r="B36" s="19">
        <f>SUM(Empresas!B25:B36)/SUM(Empresas!B13:B24)-1</f>
        <v>9.2596115532285861E-2</v>
      </c>
      <c r="C36" s="20">
        <f>SUM(Empresas!C25:C36)/SUM(Empresas!C13:C24)-1</f>
        <v>0.13716743536226628</v>
      </c>
      <c r="D36" s="20">
        <f>SUM(Empresas!D25:D36)/SUM(Empresas!D13:D24)-1</f>
        <v>0.12823206380046215</v>
      </c>
      <c r="E36" s="20">
        <f>SUM(Empresas!E25:E36)/SUM(Empresas!E13:E24)-1</f>
        <v>0.11619534096863782</v>
      </c>
      <c r="F36" s="20">
        <f>SUM(Empresas!F25:F36)/SUM(Empresas!F13:F24)-1</f>
        <v>0.10331559320927353</v>
      </c>
      <c r="G36" s="20">
        <f>SUM(Empresas!G25:G36)/SUM(Empresas!G13:G24)-1</f>
        <v>0.10319249413475107</v>
      </c>
      <c r="H36" s="20">
        <f>SUM(Empresas!H25:H36)/SUM(Empresas!H13:H24)-1</f>
        <v>0.14498830709075028</v>
      </c>
      <c r="I36" s="20">
        <f>SUM(Empresas!I25:I36)/SUM(Empresas!I13:I24)-1</f>
        <v>6.6942500126388582E-2</v>
      </c>
      <c r="J36" s="20">
        <f>SUM(Empresas!J25:J36)/SUM(Empresas!J13:J24)-1</f>
        <v>0.11714166777196877</v>
      </c>
      <c r="K36" s="20">
        <f>SUM(Empresas!K25:K36)/SUM(Empresas!K13:K24)-1</f>
        <v>9.6650580176229628E-2</v>
      </c>
      <c r="L36" s="20">
        <f>SUM(Empresas!L25:L36)/SUM(Empresas!L13:L24)-1</f>
        <v>0.12565651240500553</v>
      </c>
      <c r="M36" s="20">
        <f>SUM(Empresas!M25:M36)/SUM(Empresas!M13:M24)-1</f>
        <v>0.25452540777187993</v>
      </c>
      <c r="N36" s="20">
        <f>SUM(Empresas!N25:N36)/SUM(Empresas!N13:N24)-1</f>
        <v>0.14067363814083955</v>
      </c>
      <c r="O36" s="20">
        <f>SUM(Empresas!O25:O36)/SUM(Empresas!O13:O24)-1</f>
        <v>9.296529767390016E-2</v>
      </c>
      <c r="P36" s="20">
        <f>SUM(Empresas!P25:P36)/SUM(Empresas!P13:P24)-1</f>
        <v>0.19575972705366373</v>
      </c>
      <c r="Q36" s="20">
        <f>SUM(Empresas!Q25:Q36)/SUM(Empresas!Q13:Q24)-1</f>
        <v>0.13380365251679138</v>
      </c>
      <c r="R36" s="20">
        <f>SUM(Empresas!R25:R36)/SUM(Empresas!R13:R24)-1</f>
        <v>0.10599702855694515</v>
      </c>
      <c r="S36" s="20">
        <f>SUM(Empresas!S25:S36)/SUM(Empresas!S13:S24)-1</f>
        <v>0.11683818447717886</v>
      </c>
      <c r="T36" s="20">
        <f>SUM(Empresas!T25:T36)/SUM(Empresas!T13:T24)-1</f>
        <v>3.3653964525203417E-2</v>
      </c>
      <c r="U36" s="20">
        <f>SUM(Empresas!U25:U36)/SUM(Empresas!U13:U24)-1</f>
        <v>8.0994835005697263E-2</v>
      </c>
      <c r="V36" s="20">
        <f>SUM(Empresas!V25:V36)/SUM(Empresas!V13:V24)-1</f>
        <v>0.10519057090825057</v>
      </c>
      <c r="W36" s="20">
        <f>SUM(Empresas!W25:W36)/SUM(Empresas!W13:W24)-1</f>
        <v>0.21408812282882961</v>
      </c>
      <c r="X36" s="20">
        <f>SUM(Empresas!X25:X36)/SUM(Empresas!X13:X24)-1</f>
        <v>8.7499619247566995E-2</v>
      </c>
      <c r="Y36" s="20">
        <f>SUM(Empresas!Y25:Y36)/SUM(Empresas!Y13:Y24)-1</f>
        <v>7.5683380006666967E-2</v>
      </c>
      <c r="Z36" s="20">
        <f>SUM(Empresas!Z25:Z36)/SUM(Empresas!Z13:Z24)-1</f>
        <v>9.9814976055782711E-2</v>
      </c>
      <c r="AA36" s="20">
        <f>SUM(Empresas!AA25:AA36)/SUM(Empresas!AA13:AA24)-1</f>
        <v>0.12956311122647235</v>
      </c>
      <c r="AB36" s="21">
        <f>SUM(Empresas!AB25:AB36)/SUM(Empresas!AB13:AB24)-1</f>
        <v>0.12946712533624827</v>
      </c>
      <c r="AC36" s="19">
        <f>SUM(Empresas!AC25:AC36)/SUM(Empresas!AC13:AC24)-1</f>
        <v>0.16176403245390869</v>
      </c>
      <c r="AD36" s="20">
        <f>SUM(Empresas!AD25:AD36)/SUM(Empresas!AD13:AD24)-1</f>
        <v>8.3973311707774556E-2</v>
      </c>
      <c r="AE36" s="20">
        <f>SUM(Empresas!AE25:AE36)/SUM(Empresas!AE13:AE24)-1</f>
        <v>6.7559420820948457E-2</v>
      </c>
      <c r="AF36" s="20">
        <f>SUM(Empresas!AF25:AF36)/SUM(Empresas!AF13:AF24)-1</f>
        <v>0.16983930004467163</v>
      </c>
      <c r="AG36" s="19">
        <f>SUM(Empresas!AG25:AG36)/SUM(Empresas!AG13:AG24)-1</f>
        <v>0.11365423102341343</v>
      </c>
      <c r="AH36" s="20">
        <f>SUM(Empresas!AH25:AH36)/SUM(Empresas!AH13:AH24)-1</f>
        <v>4.9244163946088992E-2</v>
      </c>
      <c r="AI36" s="21">
        <f>SUM(Empresas!AI25:AI36)/SUM(Empresas!AI13:AI24)-1</f>
        <v>8.0825541440989745E-2</v>
      </c>
      <c r="AJ36" s="21">
        <f>SUM(Empresas!AJ25:AJ36)/SUM(Empresas!AJ13:AJ24)-1</f>
        <v>0.11201628091950444</v>
      </c>
    </row>
    <row r="37" spans="1:36" x14ac:dyDescent="0.35">
      <c r="A37" s="32">
        <v>46266</v>
      </c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19"/>
      <c r="AD37" s="20"/>
      <c r="AE37" s="20"/>
      <c r="AF37" s="20"/>
      <c r="AG37" s="19"/>
      <c r="AH37" s="20"/>
      <c r="AI37" s="21"/>
      <c r="AJ37" s="21"/>
    </row>
    <row r="38" spans="1:36" x14ac:dyDescent="0.35">
      <c r="A38" s="32">
        <v>46296</v>
      </c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1"/>
      <c r="AC38" s="19"/>
      <c r="AD38" s="20"/>
      <c r="AE38" s="20"/>
      <c r="AF38" s="20"/>
      <c r="AG38" s="19"/>
      <c r="AH38" s="20"/>
      <c r="AI38" s="21"/>
      <c r="AJ38" s="21"/>
    </row>
    <row r="39" spans="1:36" x14ac:dyDescent="0.35">
      <c r="A39" s="32">
        <v>46327</v>
      </c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19"/>
      <c r="AD39" s="20"/>
      <c r="AE39" s="20"/>
      <c r="AF39" s="20"/>
      <c r="AG39" s="19"/>
      <c r="AH39" s="20"/>
      <c r="AI39" s="21"/>
      <c r="AJ39" s="21"/>
    </row>
    <row r="40" spans="1:36" ht="15" thickBot="1" x14ac:dyDescent="0.4">
      <c r="A40" s="33">
        <v>46357</v>
      </c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4"/>
      <c r="AC40" s="22"/>
      <c r="AD40" s="23"/>
      <c r="AE40" s="23"/>
      <c r="AF40" s="23"/>
      <c r="AG40" s="22"/>
      <c r="AH40" s="23"/>
      <c r="AI40" s="24"/>
      <c r="AJ40" s="24"/>
    </row>
  </sheetData>
  <mergeCells count="4">
    <mergeCell ref="A2:AJ2"/>
    <mergeCell ref="B3:AB3"/>
    <mergeCell ref="AG3:AI3"/>
    <mergeCell ref="AC3:A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zoomScale="90" zoomScaleNormal="90" workbookViewId="0">
      <pane xSplit="1" ySplit="4" topLeftCell="S27" activePane="bottomRight" state="frozen"/>
      <selection activeCell="A233" sqref="A233:XFD244"/>
      <selection pane="topRight" activeCell="A233" sqref="A233:XFD244"/>
      <selection pane="bottomLeft" activeCell="A233" sqref="A233:XFD244"/>
      <selection pane="bottomRight" activeCell="A2" sqref="A2:AJ2"/>
    </sheetView>
  </sheetViews>
  <sheetFormatPr defaultColWidth="9.1796875" defaultRowHeight="14.5" x14ac:dyDescent="0.35"/>
  <cols>
    <col min="1" max="1" width="18" style="1" customWidth="1"/>
    <col min="2" max="28" width="9.1796875" style="1"/>
    <col min="29" max="29" width="12.81640625" style="1" bestFit="1" customWidth="1"/>
    <col min="30" max="16384" width="9.1796875" style="1"/>
  </cols>
  <sheetData>
    <row r="1" spans="1:36" ht="40.5" customHeight="1" x14ac:dyDescent="0.35"/>
    <row r="2" spans="1:36" ht="15" thickBot="1" x14ac:dyDescent="0.4">
      <c r="A2" s="36" t="s">
        <v>43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</row>
    <row r="3" spans="1:36" ht="15" thickBot="1" x14ac:dyDescent="0.4">
      <c r="B3" s="37" t="s">
        <v>42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9"/>
      <c r="AC3" s="37" t="s">
        <v>2</v>
      </c>
      <c r="AD3" s="38"/>
      <c r="AE3" s="38"/>
      <c r="AF3" s="39"/>
      <c r="AG3" s="37" t="s">
        <v>3</v>
      </c>
      <c r="AH3" s="38"/>
      <c r="AI3" s="39"/>
    </row>
    <row r="4" spans="1:36" ht="15" thickBot="1" x14ac:dyDescent="0.4">
      <c r="A4" s="2" t="s">
        <v>10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  <c r="Q4" s="4" t="s">
        <v>31</v>
      </c>
      <c r="R4" s="4" t="s">
        <v>32</v>
      </c>
      <c r="S4" s="4" t="s">
        <v>33</v>
      </c>
      <c r="T4" s="4" t="s">
        <v>34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39</v>
      </c>
      <c r="Z4" s="4" t="s">
        <v>0</v>
      </c>
      <c r="AA4" s="4" t="s">
        <v>40</v>
      </c>
      <c r="AB4" s="5" t="s">
        <v>41</v>
      </c>
      <c r="AC4" s="4" t="s">
        <v>44</v>
      </c>
      <c r="AD4" s="4" t="s">
        <v>4</v>
      </c>
      <c r="AE4" s="4" t="s">
        <v>5</v>
      </c>
      <c r="AF4" s="4" t="s">
        <v>6</v>
      </c>
      <c r="AG4" s="3" t="s">
        <v>7</v>
      </c>
      <c r="AH4" s="4" t="s">
        <v>8</v>
      </c>
      <c r="AI4" s="5" t="s">
        <v>9</v>
      </c>
      <c r="AJ4" s="6" t="s">
        <v>1</v>
      </c>
    </row>
    <row r="5" spans="1:36" x14ac:dyDescent="0.35">
      <c r="A5" s="31">
        <v>45293</v>
      </c>
      <c r="B5" s="8">
        <v>85.551870060642557</v>
      </c>
      <c r="C5" s="9">
        <v>94.701232830609271</v>
      </c>
      <c r="D5" s="9">
        <v>91.709026999823422</v>
      </c>
      <c r="E5" s="9">
        <v>89.912535647070086</v>
      </c>
      <c r="F5" s="9">
        <v>95.240653007884049</v>
      </c>
      <c r="G5" s="9">
        <v>94.783313729295699</v>
      </c>
      <c r="H5" s="9">
        <v>90.919781040114657</v>
      </c>
      <c r="I5" s="9">
        <v>88.327379879276307</v>
      </c>
      <c r="J5" s="9">
        <v>95.989030245717146</v>
      </c>
      <c r="K5" s="9">
        <v>95.865529400421423</v>
      </c>
      <c r="L5" s="9">
        <v>94.254689312456136</v>
      </c>
      <c r="M5" s="9">
        <v>90.989358835711428</v>
      </c>
      <c r="N5" s="9">
        <v>92.145625567450736</v>
      </c>
      <c r="O5" s="9">
        <v>93.469441038847322</v>
      </c>
      <c r="P5" s="9">
        <v>96.059750851276618</v>
      </c>
      <c r="Q5" s="9">
        <v>89.299456104917766</v>
      </c>
      <c r="R5" s="9">
        <v>93.406028279613238</v>
      </c>
      <c r="S5" s="9">
        <v>94.513516118156332</v>
      </c>
      <c r="T5" s="9">
        <v>93.89743154065043</v>
      </c>
      <c r="U5" s="9">
        <v>94.504657500590056</v>
      </c>
      <c r="V5" s="9">
        <v>90.231430827283049</v>
      </c>
      <c r="W5" s="9">
        <v>98.367017143023304</v>
      </c>
      <c r="X5" s="9">
        <v>93.526287154612348</v>
      </c>
      <c r="Y5" s="9">
        <v>92.581440252990461</v>
      </c>
      <c r="Z5" s="9">
        <v>93.59958827219549</v>
      </c>
      <c r="AA5" s="9">
        <v>91.553233620022326</v>
      </c>
      <c r="AB5" s="10">
        <v>94.534765591668531</v>
      </c>
      <c r="AC5" s="9">
        <v>86.479748004852993</v>
      </c>
      <c r="AD5" s="13">
        <v>93.324981620494995</v>
      </c>
      <c r="AE5" s="13">
        <v>95.075305376190997</v>
      </c>
      <c r="AF5" s="10">
        <v>90.721932818200997</v>
      </c>
      <c r="AG5" s="8">
        <v>92.871273472916926</v>
      </c>
      <c r="AH5" s="9">
        <v>96.528851643204518</v>
      </c>
      <c r="AI5" s="10">
        <v>98.63299236328325</v>
      </c>
      <c r="AJ5" s="10">
        <v>93.003565112375341</v>
      </c>
    </row>
    <row r="6" spans="1:36" x14ac:dyDescent="0.35">
      <c r="A6" s="32">
        <v>45323</v>
      </c>
      <c r="B6" s="12">
        <v>93.452347023239071</v>
      </c>
      <c r="C6" s="13">
        <v>93.301455523363529</v>
      </c>
      <c r="D6" s="13">
        <v>89.310327084485081</v>
      </c>
      <c r="E6" s="13">
        <v>106.78482353475958</v>
      </c>
      <c r="F6" s="13">
        <v>88.568772743202643</v>
      </c>
      <c r="G6" s="13">
        <v>86.964940245497104</v>
      </c>
      <c r="H6" s="13">
        <v>85.646507943335834</v>
      </c>
      <c r="I6" s="13">
        <v>93.446361268989989</v>
      </c>
      <c r="J6" s="13">
        <v>91.657697605447311</v>
      </c>
      <c r="K6" s="13">
        <v>86.335524985449709</v>
      </c>
      <c r="L6" s="13">
        <v>90.804902158586771</v>
      </c>
      <c r="M6" s="13">
        <v>87.799953999527887</v>
      </c>
      <c r="N6" s="13">
        <v>94.019762489443508</v>
      </c>
      <c r="O6" s="13">
        <v>91.198634369295931</v>
      </c>
      <c r="P6" s="13">
        <v>91.325722483041659</v>
      </c>
      <c r="Q6" s="13">
        <v>84.681112152273769</v>
      </c>
      <c r="R6" s="13">
        <v>92.341961687572393</v>
      </c>
      <c r="S6" s="13">
        <v>93.527055045641177</v>
      </c>
      <c r="T6" s="13">
        <v>83.231947446503142</v>
      </c>
      <c r="U6" s="13">
        <v>87.728425360740118</v>
      </c>
      <c r="V6" s="13">
        <v>110.53903715378669</v>
      </c>
      <c r="W6" s="13">
        <v>87.800785433024259</v>
      </c>
      <c r="X6" s="13">
        <v>96.643780784979882</v>
      </c>
      <c r="Y6" s="13">
        <v>91.720825372361659</v>
      </c>
      <c r="Z6" s="13">
        <v>90.408140409257541</v>
      </c>
      <c r="AA6" s="13">
        <v>89.821002423123744</v>
      </c>
      <c r="AB6" s="14">
        <v>92.054493152330295</v>
      </c>
      <c r="AC6" s="13">
        <v>86.615540442772001</v>
      </c>
      <c r="AD6" s="13">
        <v>90.262304433455995</v>
      </c>
      <c r="AE6" s="13">
        <v>93.493132038701006</v>
      </c>
      <c r="AF6" s="14">
        <v>87.440373506010005</v>
      </c>
      <c r="AG6" s="12">
        <v>90.36968640264395</v>
      </c>
      <c r="AH6" s="13">
        <v>96.033575976122037</v>
      </c>
      <c r="AI6" s="14">
        <v>97.029320699021568</v>
      </c>
      <c r="AJ6" s="14">
        <v>90.552888693983562</v>
      </c>
    </row>
    <row r="7" spans="1:36" x14ac:dyDescent="0.35">
      <c r="A7" s="32">
        <v>45352</v>
      </c>
      <c r="B7" s="12">
        <v>102.98881166441566</v>
      </c>
      <c r="C7" s="13">
        <v>98.991052827288357</v>
      </c>
      <c r="D7" s="13">
        <v>109.51433662548054</v>
      </c>
      <c r="E7" s="13">
        <v>96.906610229630829</v>
      </c>
      <c r="F7" s="13">
        <v>98.960949886513006</v>
      </c>
      <c r="G7" s="13">
        <v>92.515469794674587</v>
      </c>
      <c r="H7" s="13">
        <v>98.045857180276002</v>
      </c>
      <c r="I7" s="13">
        <v>124.88771172908362</v>
      </c>
      <c r="J7" s="13">
        <v>97.355715547184161</v>
      </c>
      <c r="K7" s="13">
        <v>102.16810464844737</v>
      </c>
      <c r="L7" s="13">
        <v>97.529095891536102</v>
      </c>
      <c r="M7" s="13">
        <v>92.889446060090236</v>
      </c>
      <c r="N7" s="13">
        <v>96.942488829219243</v>
      </c>
      <c r="O7" s="13">
        <v>101.87928658122074</v>
      </c>
      <c r="P7" s="13">
        <v>99.442391269160268</v>
      </c>
      <c r="Q7" s="13">
        <v>94.182666746968465</v>
      </c>
      <c r="R7" s="13">
        <v>99.319328496373231</v>
      </c>
      <c r="S7" s="13">
        <v>98.075763140023966</v>
      </c>
      <c r="T7" s="13">
        <v>109.16501093631221</v>
      </c>
      <c r="U7" s="13">
        <v>99.989257332938735</v>
      </c>
      <c r="V7" s="13">
        <v>98.832992792185422</v>
      </c>
      <c r="W7" s="13">
        <v>100.52758534068953</v>
      </c>
      <c r="X7" s="13">
        <v>99.483378943620721</v>
      </c>
      <c r="Y7" s="13">
        <v>96.051603787549141</v>
      </c>
      <c r="Z7" s="13">
        <v>98.831818202182646</v>
      </c>
      <c r="AA7" s="13">
        <v>107.14823652374537</v>
      </c>
      <c r="AB7" s="14">
        <v>101.22187595911089</v>
      </c>
      <c r="AC7" s="13">
        <v>92.910966908941006</v>
      </c>
      <c r="AD7" s="13">
        <v>100.713911625929</v>
      </c>
      <c r="AE7" s="13">
        <v>101.430874688454</v>
      </c>
      <c r="AF7" s="14">
        <v>103.277006116754</v>
      </c>
      <c r="AG7" s="12">
        <v>101.67303402468413</v>
      </c>
      <c r="AH7" s="13">
        <v>111.14010287843416</v>
      </c>
      <c r="AI7" s="14">
        <v>106.40174001725451</v>
      </c>
      <c r="AJ7" s="14">
        <v>101.91797008106936</v>
      </c>
    </row>
    <row r="8" spans="1:36" x14ac:dyDescent="0.35">
      <c r="A8" s="32">
        <v>45383</v>
      </c>
      <c r="B8" s="12">
        <v>98.257398530034948</v>
      </c>
      <c r="C8" s="13">
        <v>98.114122780114371</v>
      </c>
      <c r="D8" s="13">
        <v>99.180006283077105</v>
      </c>
      <c r="E8" s="13">
        <v>95.954373024410927</v>
      </c>
      <c r="F8" s="13">
        <v>98.85334831778826</v>
      </c>
      <c r="G8" s="13">
        <v>103.01465686181722</v>
      </c>
      <c r="H8" s="13">
        <v>93.834498222697263</v>
      </c>
      <c r="I8" s="13">
        <v>93.420712070308724</v>
      </c>
      <c r="J8" s="13">
        <v>101.48168234666927</v>
      </c>
      <c r="K8" s="13">
        <v>97.654351308660409</v>
      </c>
      <c r="L8" s="13">
        <v>99.058013600432858</v>
      </c>
      <c r="M8" s="13">
        <v>95.153846097960255</v>
      </c>
      <c r="N8" s="13">
        <v>98.005466981564751</v>
      </c>
      <c r="O8" s="13">
        <v>98.663370476654649</v>
      </c>
      <c r="P8" s="13">
        <v>99.761681643936754</v>
      </c>
      <c r="Q8" s="13">
        <v>99.933040252139207</v>
      </c>
      <c r="R8" s="13">
        <v>98.394163370324122</v>
      </c>
      <c r="S8" s="13">
        <v>98.263988592776769</v>
      </c>
      <c r="T8" s="13">
        <v>95.742957818218443</v>
      </c>
      <c r="U8" s="13">
        <v>101.49520063038331</v>
      </c>
      <c r="V8" s="13">
        <v>99.71231939941849</v>
      </c>
      <c r="W8" s="13">
        <v>101.73957400119325</v>
      </c>
      <c r="X8" s="13">
        <v>109.84432777294091</v>
      </c>
      <c r="Y8" s="13">
        <v>97.036818598973369</v>
      </c>
      <c r="Z8" s="13">
        <v>100.73708137558297</v>
      </c>
      <c r="AA8" s="13">
        <v>104.62649366090555</v>
      </c>
      <c r="AB8" s="14">
        <v>97.06889952052606</v>
      </c>
      <c r="AC8" s="13">
        <v>114.154692073951</v>
      </c>
      <c r="AD8" s="13">
        <v>101.877168351352</v>
      </c>
      <c r="AE8" s="13">
        <v>101.18012063622101</v>
      </c>
      <c r="AF8" s="14">
        <v>99.541365022731995</v>
      </c>
      <c r="AG8" s="12">
        <v>100.86976109467174</v>
      </c>
      <c r="AH8" s="13">
        <v>99.041106777213244</v>
      </c>
      <c r="AI8" s="14">
        <v>100.59100591616077</v>
      </c>
      <c r="AJ8" s="14">
        <v>100.82852370813629</v>
      </c>
    </row>
    <row r="9" spans="1:36" x14ac:dyDescent="0.35">
      <c r="A9" s="32">
        <v>45413</v>
      </c>
      <c r="B9" s="12">
        <v>108.72307827302774</v>
      </c>
      <c r="C9" s="13">
        <v>96.015719260054283</v>
      </c>
      <c r="D9" s="13">
        <v>101.51874741001711</v>
      </c>
      <c r="E9" s="13">
        <v>112.00725420707091</v>
      </c>
      <c r="F9" s="13">
        <v>97.464744314231567</v>
      </c>
      <c r="G9" s="13">
        <v>98.714438131205299</v>
      </c>
      <c r="H9" s="13">
        <v>93.888900237611566</v>
      </c>
      <c r="I9" s="13">
        <v>91.117541491653341</v>
      </c>
      <c r="J9" s="13">
        <v>96.492568295003394</v>
      </c>
      <c r="K9" s="13">
        <v>98.467908228345124</v>
      </c>
      <c r="L9" s="13">
        <v>95.921228268148113</v>
      </c>
      <c r="M9" s="13">
        <v>101.71535322242337</v>
      </c>
      <c r="N9" s="13">
        <v>97.587539022690393</v>
      </c>
      <c r="O9" s="13">
        <v>105.18436164991734</v>
      </c>
      <c r="P9" s="13">
        <v>97.658820005154794</v>
      </c>
      <c r="Q9" s="13">
        <v>92.726678920969363</v>
      </c>
      <c r="R9" s="13">
        <v>97.434636339205397</v>
      </c>
      <c r="S9" s="13">
        <v>97.602671106444589</v>
      </c>
      <c r="T9" s="13">
        <v>95.584690244708881</v>
      </c>
      <c r="U9" s="13">
        <v>102.80602819278859</v>
      </c>
      <c r="V9" s="13">
        <v>106.15693180723646</v>
      </c>
      <c r="W9" s="13">
        <v>103.06371648688027</v>
      </c>
      <c r="X9" s="13">
        <v>84.304643734105824</v>
      </c>
      <c r="Y9" s="13">
        <v>99.894340371488582</v>
      </c>
      <c r="Z9" s="13">
        <v>94.753464440979087</v>
      </c>
      <c r="AA9" s="13">
        <v>99.415491048914262</v>
      </c>
      <c r="AB9" s="14">
        <v>103.45865338145217</v>
      </c>
      <c r="AC9" s="13">
        <v>92.120699442361001</v>
      </c>
      <c r="AD9" s="13">
        <v>99.236051860939995</v>
      </c>
      <c r="AE9" s="13">
        <v>97.618195070610994</v>
      </c>
      <c r="AF9" s="14">
        <v>95.686823008199994</v>
      </c>
      <c r="AG9" s="12">
        <v>97.039041867547311</v>
      </c>
      <c r="AH9" s="13">
        <v>97.116146355546888</v>
      </c>
      <c r="AI9" s="14">
        <v>98.732993397851814</v>
      </c>
      <c r="AJ9" s="14">
        <v>97.05688149206739</v>
      </c>
    </row>
    <row r="10" spans="1:36" x14ac:dyDescent="0.35">
      <c r="A10" s="32">
        <v>45444</v>
      </c>
      <c r="B10" s="12">
        <v>102.24415782438963</v>
      </c>
      <c r="C10" s="13">
        <v>112.64013576831174</v>
      </c>
      <c r="D10" s="13">
        <v>98.116140856571448</v>
      </c>
      <c r="E10" s="13">
        <v>100.06184598256931</v>
      </c>
      <c r="F10" s="13">
        <v>103.87347527273081</v>
      </c>
      <c r="G10" s="13">
        <v>102.36137443783109</v>
      </c>
      <c r="H10" s="13">
        <v>97.34777843097315</v>
      </c>
      <c r="I10" s="13">
        <v>98.733757303393887</v>
      </c>
      <c r="J10" s="13">
        <v>100.40659529849366</v>
      </c>
      <c r="K10" s="13">
        <v>104.53451364717429</v>
      </c>
      <c r="L10" s="13">
        <v>104.71535222155426</v>
      </c>
      <c r="M10" s="13">
        <v>96.891590136482591</v>
      </c>
      <c r="N10" s="13">
        <v>102.3872824793139</v>
      </c>
      <c r="O10" s="13">
        <v>105.36896936768481</v>
      </c>
      <c r="P10" s="13">
        <v>97.97823051992205</v>
      </c>
      <c r="Q10" s="13">
        <v>91.955314634736126</v>
      </c>
      <c r="R10" s="13">
        <v>103.95339631689701</v>
      </c>
      <c r="S10" s="13">
        <v>99.442063445767275</v>
      </c>
      <c r="T10" s="13">
        <v>104.93520118400596</v>
      </c>
      <c r="U10" s="13">
        <v>98.393983976431173</v>
      </c>
      <c r="V10" s="13">
        <v>102.9642073682361</v>
      </c>
      <c r="W10" s="13">
        <v>103.93086483562976</v>
      </c>
      <c r="X10" s="13">
        <v>100.64108732334614</v>
      </c>
      <c r="Y10" s="13">
        <v>104.27421114577213</v>
      </c>
      <c r="Z10" s="13">
        <v>92.683524468895172</v>
      </c>
      <c r="AA10" s="13">
        <v>96.958843586017977</v>
      </c>
      <c r="AB10" s="14">
        <v>104.47926872730962</v>
      </c>
      <c r="AC10" s="13">
        <v>97.071558162572003</v>
      </c>
      <c r="AD10" s="13">
        <v>101.686119846669</v>
      </c>
      <c r="AE10" s="13">
        <v>102.031148644537</v>
      </c>
      <c r="AF10" s="14">
        <v>98.592885786850005</v>
      </c>
      <c r="AG10" s="12">
        <v>100.60260436689936</v>
      </c>
      <c r="AH10" s="13">
        <v>99.773114302487272</v>
      </c>
      <c r="AI10" s="14">
        <v>100.4421310542166</v>
      </c>
      <c r="AJ10" s="14">
        <v>100.58357311352904</v>
      </c>
    </row>
    <row r="11" spans="1:36" x14ac:dyDescent="0.35">
      <c r="A11" s="32">
        <v>45474</v>
      </c>
      <c r="B11" s="12">
        <v>102.30658945789234</v>
      </c>
      <c r="C11" s="13">
        <v>104.20290731849096</v>
      </c>
      <c r="D11" s="13">
        <v>103.65172091778409</v>
      </c>
      <c r="E11" s="13">
        <v>100.95367544457817</v>
      </c>
      <c r="F11" s="13">
        <v>109.40604715472443</v>
      </c>
      <c r="G11" s="13">
        <v>110.2904404659423</v>
      </c>
      <c r="H11" s="13">
        <v>127.46807121577488</v>
      </c>
      <c r="I11" s="13">
        <v>127.38330784646537</v>
      </c>
      <c r="J11" s="13">
        <v>112.26179926841786</v>
      </c>
      <c r="K11" s="13">
        <v>101.53740177722106</v>
      </c>
      <c r="L11" s="13">
        <v>116.64889285170518</v>
      </c>
      <c r="M11" s="13">
        <v>144.35919898713198</v>
      </c>
      <c r="N11" s="13">
        <v>118.6424865490404</v>
      </c>
      <c r="O11" s="13">
        <v>103.34162497311456</v>
      </c>
      <c r="P11" s="13">
        <v>112.7712265100477</v>
      </c>
      <c r="Q11" s="13">
        <v>105.01145833008275</v>
      </c>
      <c r="R11" s="13">
        <v>105.33749718470735</v>
      </c>
      <c r="S11" s="13">
        <v>109.62831589138366</v>
      </c>
      <c r="T11" s="13">
        <v>124.24704005927427</v>
      </c>
      <c r="U11" s="13">
        <v>107.00732635693598</v>
      </c>
      <c r="V11" s="13">
        <v>102.33187996527656</v>
      </c>
      <c r="W11" s="13">
        <v>107.2121436412158</v>
      </c>
      <c r="X11" s="13">
        <v>112.31470870354055</v>
      </c>
      <c r="Y11" s="13">
        <v>108.3458672465371</v>
      </c>
      <c r="Z11" s="13">
        <v>108.22884591978877</v>
      </c>
      <c r="AA11" s="13">
        <v>107.09748825647245</v>
      </c>
      <c r="AB11" s="14">
        <v>110.76840184895534</v>
      </c>
      <c r="AC11" s="13">
        <v>118.451075765502</v>
      </c>
      <c r="AD11" s="13">
        <v>109.717164613981</v>
      </c>
      <c r="AE11" s="13">
        <v>112.08441346991</v>
      </c>
      <c r="AF11" s="14">
        <v>111.8479513115</v>
      </c>
      <c r="AG11" s="12">
        <v>112.00562858383461</v>
      </c>
      <c r="AH11" s="13">
        <v>101.67874547820097</v>
      </c>
      <c r="AI11" s="14">
        <v>102.95155568521605</v>
      </c>
      <c r="AJ11" s="14">
        <v>111.70115812871322</v>
      </c>
    </row>
    <row r="12" spans="1:36" x14ac:dyDescent="0.35">
      <c r="A12" s="32">
        <v>45505</v>
      </c>
      <c r="B12" s="12">
        <v>122.12054351935011</v>
      </c>
      <c r="C12" s="13">
        <v>117.06997917825946</v>
      </c>
      <c r="D12" s="13">
        <v>111.89385292691803</v>
      </c>
      <c r="E12" s="13">
        <v>117.51153679686068</v>
      </c>
      <c r="F12" s="13">
        <v>115.33499392457823</v>
      </c>
      <c r="G12" s="13">
        <v>128.60455031908603</v>
      </c>
      <c r="H12" s="13">
        <v>123.21521984004214</v>
      </c>
      <c r="I12" s="13">
        <v>106.73153611442852</v>
      </c>
      <c r="J12" s="13">
        <v>114.63421475213281</v>
      </c>
      <c r="K12" s="13">
        <v>124.48149648873974</v>
      </c>
      <c r="L12" s="13">
        <v>112.85992162206608</v>
      </c>
      <c r="M12" s="13">
        <v>109.05279084565001</v>
      </c>
      <c r="N12" s="13">
        <v>109.30211530566274</v>
      </c>
      <c r="O12" s="13">
        <v>111.39682069935262</v>
      </c>
      <c r="P12" s="13">
        <v>117.4244854987317</v>
      </c>
      <c r="Q12" s="13">
        <v>166.71326561869154</v>
      </c>
      <c r="R12" s="13">
        <v>119.66996180090167</v>
      </c>
      <c r="S12" s="13">
        <v>112.6460726048403</v>
      </c>
      <c r="T12" s="13">
        <v>117.20080210855832</v>
      </c>
      <c r="U12" s="13">
        <v>111.92754193734729</v>
      </c>
      <c r="V12" s="13">
        <v>113.95287559415463</v>
      </c>
      <c r="W12" s="13">
        <v>114.48960492911398</v>
      </c>
      <c r="X12" s="13">
        <v>113.78814741200185</v>
      </c>
      <c r="Y12" s="13">
        <v>111.0120283021933</v>
      </c>
      <c r="Z12" s="13">
        <v>117.07132941717764</v>
      </c>
      <c r="AA12" s="13">
        <v>114.53974602831578</v>
      </c>
      <c r="AB12" s="14">
        <v>110.93103893887779</v>
      </c>
      <c r="AC12" s="13">
        <v>115.45473770911499</v>
      </c>
      <c r="AD12" s="13">
        <v>115.81264460798199</v>
      </c>
      <c r="AE12" s="13">
        <v>114.901292346535</v>
      </c>
      <c r="AF12" s="14">
        <v>116.540180244651</v>
      </c>
      <c r="AG12" s="12">
        <v>116.16912350487716</v>
      </c>
      <c r="AH12" s="13">
        <v>99.98037003251342</v>
      </c>
      <c r="AI12" s="14">
        <v>101.36718749507614</v>
      </c>
      <c r="AJ12" s="14">
        <v>115.68600187773022</v>
      </c>
    </row>
    <row r="13" spans="1:36" x14ac:dyDescent="0.35">
      <c r="A13" s="32">
        <v>45536</v>
      </c>
      <c r="B13" s="12">
        <v>107.01147035072944</v>
      </c>
      <c r="C13" s="13">
        <v>99.979559348248628</v>
      </c>
      <c r="D13" s="13">
        <v>110.01310804579441</v>
      </c>
      <c r="E13" s="13">
        <v>101.03201563835648</v>
      </c>
      <c r="F13" s="13">
        <v>102.66987009060328</v>
      </c>
      <c r="G13" s="13">
        <v>103.78093881000395</v>
      </c>
      <c r="H13" s="13">
        <v>102.2463971073544</v>
      </c>
      <c r="I13" s="13">
        <v>94.265339400752481</v>
      </c>
      <c r="J13" s="13">
        <v>100.76097446281933</v>
      </c>
      <c r="K13" s="13">
        <v>105.71797611376294</v>
      </c>
      <c r="L13" s="13">
        <v>101.8680680613376</v>
      </c>
      <c r="M13" s="13">
        <v>100.67748734435169</v>
      </c>
      <c r="N13" s="13">
        <v>101.14869404889697</v>
      </c>
      <c r="O13" s="13">
        <v>106.80511642583119</v>
      </c>
      <c r="P13" s="13">
        <v>101.24321569117085</v>
      </c>
      <c r="Q13" s="13">
        <v>101.33222674354856</v>
      </c>
      <c r="R13" s="13">
        <v>104.39869711916421</v>
      </c>
      <c r="S13" s="13">
        <v>104.45542437790212</v>
      </c>
      <c r="T13" s="13">
        <v>102.89485142507564</v>
      </c>
      <c r="U13" s="13">
        <v>102.87063922493367</v>
      </c>
      <c r="V13" s="13">
        <v>99.695011312471323</v>
      </c>
      <c r="W13" s="13">
        <v>102.65755612538921</v>
      </c>
      <c r="X13" s="13">
        <v>99.134001993396751</v>
      </c>
      <c r="Y13" s="13">
        <v>102.8903422803559</v>
      </c>
      <c r="Z13" s="13">
        <v>107.55104039987764</v>
      </c>
      <c r="AA13" s="13">
        <v>100.92038776887682</v>
      </c>
      <c r="AB13" s="14">
        <v>101.78115625927893</v>
      </c>
      <c r="AC13" s="13">
        <v>100.46414300502001</v>
      </c>
      <c r="AD13" s="13">
        <v>102.81821132374201</v>
      </c>
      <c r="AE13" s="13">
        <v>100.314463101626</v>
      </c>
      <c r="AF13" s="14">
        <v>103.275111583285</v>
      </c>
      <c r="AG13" s="12">
        <v>101.65438695331885</v>
      </c>
      <c r="AH13" s="13">
        <v>110.70691720565303</v>
      </c>
      <c r="AI13" s="14">
        <v>102.86435196232748</v>
      </c>
      <c r="AJ13" s="14">
        <v>101.85690068781341</v>
      </c>
    </row>
    <row r="14" spans="1:36" x14ac:dyDescent="0.35">
      <c r="A14" s="32">
        <v>45566</v>
      </c>
      <c r="B14" s="12">
        <v>103.2143561891</v>
      </c>
      <c r="C14" s="13">
        <v>103.10201799996091</v>
      </c>
      <c r="D14" s="13">
        <v>98.762501533087914</v>
      </c>
      <c r="E14" s="13">
        <v>100.15509108053462</v>
      </c>
      <c r="F14" s="13">
        <v>103.61628817273699</v>
      </c>
      <c r="G14" s="13">
        <v>98.82182726476367</v>
      </c>
      <c r="H14" s="13">
        <v>97.938685128622708</v>
      </c>
      <c r="I14" s="13">
        <v>104.80756800026121</v>
      </c>
      <c r="J14" s="13">
        <v>103.80141064737845</v>
      </c>
      <c r="K14" s="13">
        <v>103.87628304317444</v>
      </c>
      <c r="L14" s="13">
        <v>105.05009661122158</v>
      </c>
      <c r="M14" s="13">
        <v>99.584609983431065</v>
      </c>
      <c r="N14" s="13">
        <v>104.25948083471567</v>
      </c>
      <c r="O14" s="13">
        <v>101.17762402899986</v>
      </c>
      <c r="P14" s="13">
        <v>102.47394733829343</v>
      </c>
      <c r="Q14" s="13">
        <v>98.400004955956234</v>
      </c>
      <c r="R14" s="13">
        <v>101.72300935018401</v>
      </c>
      <c r="S14" s="13">
        <v>107.40472367859991</v>
      </c>
      <c r="T14" s="13">
        <v>97.404256463732565</v>
      </c>
      <c r="U14" s="13">
        <v>108.0156799996326</v>
      </c>
      <c r="V14" s="13">
        <v>100.0399792617086</v>
      </c>
      <c r="W14" s="13">
        <v>100.75582893057992</v>
      </c>
      <c r="X14" s="13">
        <v>104.76472198934424</v>
      </c>
      <c r="Y14" s="13">
        <v>110.24547114362923</v>
      </c>
      <c r="Z14" s="13">
        <v>108.55726392778089</v>
      </c>
      <c r="AA14" s="13">
        <v>105.20975403700415</v>
      </c>
      <c r="AB14" s="14">
        <v>100.69282970419746</v>
      </c>
      <c r="AC14" s="13">
        <v>105.000946094854</v>
      </c>
      <c r="AD14" s="13">
        <v>104.324654600532</v>
      </c>
      <c r="AE14" s="13">
        <v>103.723142724544</v>
      </c>
      <c r="AF14" s="14">
        <v>104.645541313365</v>
      </c>
      <c r="AG14" s="12">
        <v>104.35890400483112</v>
      </c>
      <c r="AH14" s="13">
        <v>98.677286496613988</v>
      </c>
      <c r="AI14" s="14">
        <v>99.394566030618051</v>
      </c>
      <c r="AJ14" s="14">
        <v>104.19155403756133</v>
      </c>
    </row>
    <row r="15" spans="1:36" x14ac:dyDescent="0.35">
      <c r="A15" s="32">
        <v>45597</v>
      </c>
      <c r="B15" s="12">
        <v>93.562037132978759</v>
      </c>
      <c r="C15" s="13">
        <v>96.772224788707689</v>
      </c>
      <c r="D15" s="13">
        <v>98.003783853576579</v>
      </c>
      <c r="E15" s="13">
        <v>94.458345565776995</v>
      </c>
      <c r="F15" s="13">
        <v>97.498453070379824</v>
      </c>
      <c r="G15" s="13">
        <v>97.097325501802374</v>
      </c>
      <c r="H15" s="13">
        <v>98.249346829132804</v>
      </c>
      <c r="I15" s="13">
        <v>97.035871063385315</v>
      </c>
      <c r="J15" s="13">
        <v>97.660700656226737</v>
      </c>
      <c r="K15" s="13">
        <v>95.190142703336193</v>
      </c>
      <c r="L15" s="13">
        <v>97.198362721588808</v>
      </c>
      <c r="M15" s="13">
        <v>94.262913775435536</v>
      </c>
      <c r="N15" s="13">
        <v>97.504420892948147</v>
      </c>
      <c r="O15" s="13">
        <v>96.490089909331047</v>
      </c>
      <c r="P15" s="13">
        <v>99.46796040437917</v>
      </c>
      <c r="Q15" s="13">
        <v>93.19934741532154</v>
      </c>
      <c r="R15" s="13">
        <v>98.012331309280029</v>
      </c>
      <c r="S15" s="13">
        <v>98.151602772923368</v>
      </c>
      <c r="T15" s="13">
        <v>92.014569593614468</v>
      </c>
      <c r="U15" s="13">
        <v>95.3881187040013</v>
      </c>
      <c r="V15" s="13">
        <v>92.289508990861762</v>
      </c>
      <c r="W15" s="13">
        <v>93.741159466898608</v>
      </c>
      <c r="X15" s="13">
        <v>97.960429592270842</v>
      </c>
      <c r="Y15" s="13">
        <v>98.065118624154564</v>
      </c>
      <c r="Z15" s="13">
        <v>97.812351158927996</v>
      </c>
      <c r="AA15" s="13">
        <v>99.386766821482126</v>
      </c>
      <c r="AB15" s="14">
        <v>95.87033106708715</v>
      </c>
      <c r="AC15" s="13">
        <v>107.752412541879</v>
      </c>
      <c r="AD15" s="13">
        <v>94.742354986316997</v>
      </c>
      <c r="AE15" s="13">
        <v>95.533586871335004</v>
      </c>
      <c r="AF15" s="14">
        <v>100.43088637706001</v>
      </c>
      <c r="AG15" s="12">
        <v>97.506481157981014</v>
      </c>
      <c r="AH15" s="13">
        <v>95.84549329898438</v>
      </c>
      <c r="AI15" s="14">
        <v>96.27594007208225</v>
      </c>
      <c r="AJ15" s="14">
        <v>97.459670278923056</v>
      </c>
    </row>
    <row r="16" spans="1:36" ht="15" thickBot="1" x14ac:dyDescent="0.4">
      <c r="A16" s="33">
        <v>45627</v>
      </c>
      <c r="B16" s="16">
        <v>80.567339974199655</v>
      </c>
      <c r="C16" s="17">
        <v>85.10959237659074</v>
      </c>
      <c r="D16" s="17">
        <v>88.326447463384341</v>
      </c>
      <c r="E16" s="17">
        <v>84.261892848381464</v>
      </c>
      <c r="F16" s="17">
        <v>88.512404044626919</v>
      </c>
      <c r="G16" s="17">
        <v>83.05072443808065</v>
      </c>
      <c r="H16" s="17">
        <v>91.198956824064695</v>
      </c>
      <c r="I16" s="17">
        <v>79.842913832001187</v>
      </c>
      <c r="J16" s="17">
        <v>87.497610874509917</v>
      </c>
      <c r="K16" s="17">
        <v>84.170767655267341</v>
      </c>
      <c r="L16" s="17">
        <v>84.091376679366917</v>
      </c>
      <c r="M16" s="17">
        <v>86.623450711804011</v>
      </c>
      <c r="N16" s="17">
        <v>88.054636999053486</v>
      </c>
      <c r="O16" s="17">
        <v>85.024660479750025</v>
      </c>
      <c r="P16" s="17">
        <v>84.392567784885145</v>
      </c>
      <c r="Q16" s="17">
        <v>82.565428124394586</v>
      </c>
      <c r="R16" s="17">
        <v>86.008988745777344</v>
      </c>
      <c r="S16" s="17">
        <v>86.288803225540491</v>
      </c>
      <c r="T16" s="17">
        <v>83.681241179345605</v>
      </c>
      <c r="U16" s="17">
        <v>89.873140783277321</v>
      </c>
      <c r="V16" s="17">
        <v>83.253825527380769</v>
      </c>
      <c r="W16" s="17">
        <v>85.714163666361927</v>
      </c>
      <c r="X16" s="17">
        <v>87.594484595839646</v>
      </c>
      <c r="Y16" s="17">
        <v>87.881932873994501</v>
      </c>
      <c r="Z16" s="17">
        <v>89.765552007354188</v>
      </c>
      <c r="AA16" s="17">
        <v>83.322556225119243</v>
      </c>
      <c r="AB16" s="18">
        <v>87.138285849205616</v>
      </c>
      <c r="AC16" s="17">
        <v>83.523479848180003</v>
      </c>
      <c r="AD16" s="17">
        <v>85.484432128604993</v>
      </c>
      <c r="AE16" s="17">
        <v>82.614325031334999</v>
      </c>
      <c r="AF16" s="18">
        <v>87.999942911391003</v>
      </c>
      <c r="AG16" s="16">
        <v>84.880074565793677</v>
      </c>
      <c r="AH16" s="17">
        <v>93.478289555026123</v>
      </c>
      <c r="AI16" s="18">
        <v>95.316215306891664</v>
      </c>
      <c r="AJ16" s="18">
        <v>85.161312788097732</v>
      </c>
    </row>
    <row r="17" spans="1:36" x14ac:dyDescent="0.35">
      <c r="A17" s="31">
        <v>45659</v>
      </c>
      <c r="B17" s="8">
        <v>94.993689430862304</v>
      </c>
      <c r="C17" s="9">
        <v>99.773175323509932</v>
      </c>
      <c r="D17" s="9">
        <v>102.63497799780869</v>
      </c>
      <c r="E17" s="9">
        <v>104.98329112417065</v>
      </c>
      <c r="F17" s="9">
        <v>101.48059901838198</v>
      </c>
      <c r="G17" s="9">
        <v>109.16622511377605</v>
      </c>
      <c r="H17" s="9">
        <v>98.963739772142929</v>
      </c>
      <c r="I17" s="9">
        <v>96.046752875235526</v>
      </c>
      <c r="J17" s="9">
        <v>107.15418373267013</v>
      </c>
      <c r="K17" s="9">
        <v>106.50975443585884</v>
      </c>
      <c r="L17" s="9">
        <v>103.62085272460797</v>
      </c>
      <c r="M17" s="9">
        <v>108.7199544653988</v>
      </c>
      <c r="N17" s="9">
        <v>112.60196489157175</v>
      </c>
      <c r="O17" s="9">
        <v>107.46516913334636</v>
      </c>
      <c r="P17" s="9">
        <v>106.21199433295487</v>
      </c>
      <c r="Q17" s="9">
        <v>95.802363440466266</v>
      </c>
      <c r="R17" s="9">
        <v>102.88525338961014</v>
      </c>
      <c r="S17" s="9">
        <v>108.33306489261598</v>
      </c>
      <c r="T17" s="9">
        <v>94.601567340361186</v>
      </c>
      <c r="U17" s="9">
        <v>111.42702096904944</v>
      </c>
      <c r="V17" s="9">
        <v>98.209483914952997</v>
      </c>
      <c r="W17" s="9">
        <v>102.42476882555761</v>
      </c>
      <c r="X17" s="9">
        <v>105.82121899499964</v>
      </c>
      <c r="Y17" s="9">
        <v>107.52169657650799</v>
      </c>
      <c r="Z17" s="9">
        <v>107.66599489525765</v>
      </c>
      <c r="AA17" s="9">
        <v>101.76993752508497</v>
      </c>
      <c r="AB17" s="10">
        <v>106.73367068343273</v>
      </c>
      <c r="AC17" s="9">
        <v>98.672128045590995</v>
      </c>
      <c r="AD17" s="13">
        <v>103.421046808113</v>
      </c>
      <c r="AE17" s="13">
        <v>101.40128465113899</v>
      </c>
      <c r="AF17" s="10">
        <v>106.115244597217</v>
      </c>
      <c r="AG17" s="9">
        <v>103.74253003616201</v>
      </c>
      <c r="AH17" s="9">
        <v>95.683074890922001</v>
      </c>
      <c r="AI17" s="10">
        <v>96.803323604535379</v>
      </c>
      <c r="AJ17" s="10">
        <v>103.50612544741912</v>
      </c>
    </row>
    <row r="18" spans="1:36" x14ac:dyDescent="0.35">
      <c r="A18" s="32">
        <v>45689</v>
      </c>
      <c r="B18" s="12">
        <v>98.035893952127694</v>
      </c>
      <c r="C18" s="13">
        <v>95.796588027754964</v>
      </c>
      <c r="D18" s="13">
        <v>100.83206836992863</v>
      </c>
      <c r="E18" s="13">
        <v>97.019808317845673</v>
      </c>
      <c r="F18" s="13">
        <v>98.904907355624815</v>
      </c>
      <c r="G18" s="13">
        <v>102.25075818676419</v>
      </c>
      <c r="H18" s="13">
        <v>96.944918245722761</v>
      </c>
      <c r="I18" s="13">
        <v>93.890320221323492</v>
      </c>
      <c r="J18" s="13">
        <v>102.81370604096762</v>
      </c>
      <c r="K18" s="13">
        <v>101.15363693341406</v>
      </c>
      <c r="L18" s="13">
        <v>101.77784482488393</v>
      </c>
      <c r="M18" s="13">
        <v>104.23178378</v>
      </c>
      <c r="N18" s="13">
        <v>104.74013310644656</v>
      </c>
      <c r="O18" s="13">
        <v>106.46002144573256</v>
      </c>
      <c r="P18" s="13">
        <v>102.28943856127091</v>
      </c>
      <c r="Q18" s="13">
        <v>91.348090232962576</v>
      </c>
      <c r="R18" s="13">
        <v>103.21128117103953</v>
      </c>
      <c r="S18" s="13">
        <v>104.87792525532402</v>
      </c>
      <c r="T18" s="13">
        <v>91.650522022621288</v>
      </c>
      <c r="U18" s="13">
        <v>103.47080507598912</v>
      </c>
      <c r="V18" s="13">
        <v>98.993080448767799</v>
      </c>
      <c r="W18" s="13">
        <v>102.99913099683356</v>
      </c>
      <c r="X18" s="13">
        <v>99.407634607951024</v>
      </c>
      <c r="Y18" s="13">
        <v>121.21884010649558</v>
      </c>
      <c r="Z18" s="13">
        <v>105.88421354835221</v>
      </c>
      <c r="AA18" s="13">
        <v>103.12831874478003</v>
      </c>
      <c r="AB18" s="14">
        <v>102.81435957361626</v>
      </c>
      <c r="AC18" s="13">
        <v>98.137862716070998</v>
      </c>
      <c r="AD18" s="13">
        <v>103.95233130810399</v>
      </c>
      <c r="AE18" s="13">
        <v>100.53052995128</v>
      </c>
      <c r="AF18" s="14">
        <v>104.184639211046</v>
      </c>
      <c r="AG18" s="13">
        <v>102.60789388657052</v>
      </c>
      <c r="AH18" s="13">
        <v>97.524723932829744</v>
      </c>
      <c r="AI18" s="14">
        <v>97.63157622728788</v>
      </c>
      <c r="AJ18" s="14">
        <v>102.45305150180621</v>
      </c>
    </row>
    <row r="19" spans="1:36" x14ac:dyDescent="0.35">
      <c r="A19" s="32">
        <v>45717</v>
      </c>
      <c r="B19" s="12">
        <v>99.263812643953642</v>
      </c>
      <c r="C19" s="13">
        <v>95.394175628098878</v>
      </c>
      <c r="D19" s="13">
        <v>99.906044791653954</v>
      </c>
      <c r="E19" s="13">
        <v>96.775821706512914</v>
      </c>
      <c r="F19" s="13">
        <v>99.340686821831156</v>
      </c>
      <c r="G19" s="13">
        <v>93.26104983594287</v>
      </c>
      <c r="H19" s="13">
        <v>97.959715685992506</v>
      </c>
      <c r="I19" s="13">
        <v>90.114209552136955</v>
      </c>
      <c r="J19" s="13">
        <v>99.982533235869084</v>
      </c>
      <c r="K19" s="13">
        <v>97.566071741655648</v>
      </c>
      <c r="L19" s="13">
        <v>99.980966300150243</v>
      </c>
      <c r="M19" s="13">
        <v>105.81082471410564</v>
      </c>
      <c r="N19" s="13">
        <v>108.99905147535938</v>
      </c>
      <c r="O19" s="13">
        <v>105.30037237365519</v>
      </c>
      <c r="P19" s="13">
        <v>101.58897220485143</v>
      </c>
      <c r="Q19" s="13">
        <v>90.591468854488298</v>
      </c>
      <c r="R19" s="13">
        <v>99.030907771780562</v>
      </c>
      <c r="S19" s="13">
        <v>110.92119198722608</v>
      </c>
      <c r="T19" s="13">
        <v>90.326260180990118</v>
      </c>
      <c r="U19" s="13">
        <v>120.6132876129472</v>
      </c>
      <c r="V19" s="13">
        <v>105.17584937775528</v>
      </c>
      <c r="W19" s="13">
        <v>107.48511051195371</v>
      </c>
      <c r="X19" s="13">
        <v>108.01156416889044</v>
      </c>
      <c r="Y19" s="13">
        <v>129.57507525151127</v>
      </c>
      <c r="Z19" s="13">
        <v>102.73781574328531</v>
      </c>
      <c r="AA19" s="13">
        <v>100.11225023626507</v>
      </c>
      <c r="AB19" s="14">
        <v>104.88944422384692</v>
      </c>
      <c r="AC19" s="13">
        <v>97.808399096201001</v>
      </c>
      <c r="AD19" s="13">
        <v>104.436775730693</v>
      </c>
      <c r="AE19" s="13">
        <v>99.540753132646998</v>
      </c>
      <c r="AF19" s="14">
        <v>106.190874373296</v>
      </c>
      <c r="AG19" s="13">
        <v>102.8139492128431</v>
      </c>
      <c r="AH19" s="13">
        <v>105.76723591710559</v>
      </c>
      <c r="AI19" s="14">
        <v>101.40117989035605</v>
      </c>
      <c r="AJ19" s="14">
        <v>102.86271681353736</v>
      </c>
    </row>
    <row r="20" spans="1:36" x14ac:dyDescent="0.35">
      <c r="A20" s="32">
        <v>45748</v>
      </c>
      <c r="B20" s="12">
        <v>101.22162214471389</v>
      </c>
      <c r="C20" s="13">
        <v>97.61815497648233</v>
      </c>
      <c r="D20" s="13">
        <v>103.94618517703331</v>
      </c>
      <c r="E20" s="13">
        <v>102.74992388602899</v>
      </c>
      <c r="F20" s="13">
        <v>99.812392248330738</v>
      </c>
      <c r="G20" s="13">
        <v>97.163805160374622</v>
      </c>
      <c r="H20" s="13">
        <v>106.68994585182196</v>
      </c>
      <c r="I20" s="13">
        <v>97.66378626951942</v>
      </c>
      <c r="J20" s="13">
        <v>103.22091852078236</v>
      </c>
      <c r="K20" s="13">
        <v>99.351182587053046</v>
      </c>
      <c r="L20" s="13">
        <v>101.79593443527256</v>
      </c>
      <c r="M20" s="13">
        <v>110.76919279478625</v>
      </c>
      <c r="N20" s="13">
        <v>107.00941567081441</v>
      </c>
      <c r="O20" s="13">
        <v>105.24912403511142</v>
      </c>
      <c r="P20" s="13">
        <v>102.00655660026329</v>
      </c>
      <c r="Q20" s="13">
        <v>95.000614065347463</v>
      </c>
      <c r="R20" s="13">
        <v>98.322856035306572</v>
      </c>
      <c r="S20" s="13">
        <v>103.98462744724328</v>
      </c>
      <c r="T20" s="13">
        <v>110.62057264856759</v>
      </c>
      <c r="U20" s="13">
        <v>103.11976173595467</v>
      </c>
      <c r="V20" s="13">
        <v>98.814645759800371</v>
      </c>
      <c r="W20" s="13">
        <v>109.30532417731978</v>
      </c>
      <c r="X20" s="13">
        <v>105.49822305417325</v>
      </c>
      <c r="Y20" s="13">
        <v>104.27891316669566</v>
      </c>
      <c r="Z20" s="13">
        <v>103.99796902617251</v>
      </c>
      <c r="AA20" s="13">
        <v>97.233763595917878</v>
      </c>
      <c r="AB20" s="14">
        <v>104.84849765836846</v>
      </c>
      <c r="AC20" s="13">
        <v>99.871998931468994</v>
      </c>
      <c r="AD20" s="13">
        <v>103.003543126065</v>
      </c>
      <c r="AE20" s="13">
        <v>99.463104108552002</v>
      </c>
      <c r="AF20" s="14">
        <v>103.792319220301</v>
      </c>
      <c r="AG20" s="13">
        <v>101.72225456977301</v>
      </c>
      <c r="AH20" s="13">
        <v>101.18066536758117</v>
      </c>
      <c r="AI20" s="14">
        <v>100.79224671245528</v>
      </c>
      <c r="AJ20" s="14">
        <v>101.70193015274711</v>
      </c>
    </row>
    <row r="21" spans="1:36" x14ac:dyDescent="0.35">
      <c r="A21" s="32">
        <v>45778</v>
      </c>
      <c r="B21" s="12">
        <v>118.67318037879848</v>
      </c>
      <c r="C21" s="13">
        <v>112.89399029971973</v>
      </c>
      <c r="D21" s="13">
        <v>120.03249885970368</v>
      </c>
      <c r="E21" s="13">
        <v>112.65946090821697</v>
      </c>
      <c r="F21" s="13">
        <v>113.92462944442099</v>
      </c>
      <c r="G21" s="13">
        <v>109.9609864051297</v>
      </c>
      <c r="H21" s="13">
        <v>111.10304899887792</v>
      </c>
      <c r="I21" s="13">
        <v>113.39041290812786</v>
      </c>
      <c r="J21" s="13">
        <v>116.12407265520734</v>
      </c>
      <c r="K21" s="13">
        <v>112.49641615453268</v>
      </c>
      <c r="L21" s="13">
        <v>112.65695755889496</v>
      </c>
      <c r="M21" s="13">
        <v>118.2348972885884</v>
      </c>
      <c r="N21" s="13">
        <v>122.68292211192806</v>
      </c>
      <c r="O21" s="13">
        <v>120.017385231018</v>
      </c>
      <c r="P21" s="13">
        <v>116.47059475847867</v>
      </c>
      <c r="Q21" s="13">
        <v>107.80603497647247</v>
      </c>
      <c r="R21" s="13">
        <v>113.5794511545636</v>
      </c>
      <c r="S21" s="13">
        <v>112.49581548081895</v>
      </c>
      <c r="T21" s="13">
        <v>127.12178255074392</v>
      </c>
      <c r="U21" s="13">
        <v>116.52118621856573</v>
      </c>
      <c r="V21" s="13">
        <v>111.33572410359709</v>
      </c>
      <c r="W21" s="13">
        <v>121.63702605846251</v>
      </c>
      <c r="X21" s="13">
        <v>111.39095665720642</v>
      </c>
      <c r="Y21" s="13">
        <v>112.53796729932373</v>
      </c>
      <c r="Z21" s="13">
        <v>113.33186297132663</v>
      </c>
      <c r="AA21" s="13">
        <v>107.99074303094901</v>
      </c>
      <c r="AB21" s="14">
        <v>116.80779198880312</v>
      </c>
      <c r="AC21" s="13">
        <v>112.222432465523</v>
      </c>
      <c r="AD21" s="13">
        <v>110.81790643295</v>
      </c>
      <c r="AE21" s="13">
        <v>110.20945101599401</v>
      </c>
      <c r="AF21" s="14">
        <v>116.948035409841</v>
      </c>
      <c r="AG21" s="13">
        <v>113.24343511544495</v>
      </c>
      <c r="AH21" s="13">
        <v>103.86357785678622</v>
      </c>
      <c r="AI21" s="14">
        <v>101.63136323787849</v>
      </c>
      <c r="AJ21" s="14">
        <v>112.9344555496799</v>
      </c>
    </row>
    <row r="22" spans="1:36" x14ac:dyDescent="0.35">
      <c r="A22" s="32">
        <v>45809</v>
      </c>
      <c r="B22" s="12">
        <v>117.46864741448422</v>
      </c>
      <c r="C22" s="13">
        <v>107.0752649173498</v>
      </c>
      <c r="D22" s="13">
        <v>124.46681626660346</v>
      </c>
      <c r="E22" s="13">
        <v>115.52147645837782</v>
      </c>
      <c r="F22" s="13">
        <v>104.72104293390862</v>
      </c>
      <c r="G22" s="13">
        <v>112.20777253309163</v>
      </c>
      <c r="H22" s="13">
        <v>110.05302081965505</v>
      </c>
      <c r="I22" s="13">
        <v>105.78821657763839</v>
      </c>
      <c r="J22" s="13">
        <v>113.17799497447996</v>
      </c>
      <c r="K22" s="13">
        <v>109.96193044091309</v>
      </c>
      <c r="L22" s="13">
        <v>111.42160433876495</v>
      </c>
      <c r="M22" s="13">
        <v>116.72888930963931</v>
      </c>
      <c r="N22" s="13">
        <v>121.31028556227967</v>
      </c>
      <c r="O22" s="13">
        <v>118.78169282499864</v>
      </c>
      <c r="P22" s="13">
        <v>110.14222684353179</v>
      </c>
      <c r="Q22" s="13">
        <v>102.89044089182424</v>
      </c>
      <c r="R22" s="13">
        <v>110.72202962488986</v>
      </c>
      <c r="S22" s="13">
        <v>111.14525779182011</v>
      </c>
      <c r="T22" s="13">
        <v>109.3569566493785</v>
      </c>
      <c r="U22" s="13">
        <v>108.37408431469471</v>
      </c>
      <c r="V22" s="13">
        <v>109.3497778831988</v>
      </c>
      <c r="W22" s="13">
        <v>122.9492614952951</v>
      </c>
      <c r="X22" s="13">
        <v>113.37926258874786</v>
      </c>
      <c r="Y22" s="13">
        <v>109.7738518764161</v>
      </c>
      <c r="Z22" s="13">
        <v>105.47076619078469</v>
      </c>
      <c r="AA22" s="13">
        <v>111.0996813540863</v>
      </c>
      <c r="AB22" s="14">
        <v>119.68947872907951</v>
      </c>
      <c r="AC22" s="13">
        <v>106.626003138809</v>
      </c>
      <c r="AD22" s="13">
        <v>109.59434771811399</v>
      </c>
      <c r="AE22" s="13">
        <v>106.620980472837</v>
      </c>
      <c r="AF22" s="14">
        <v>117.036396450832</v>
      </c>
      <c r="AG22" s="13">
        <v>111.42993489920725</v>
      </c>
      <c r="AH22" s="13">
        <v>101.77390718687758</v>
      </c>
      <c r="AI22" s="14">
        <v>99.766042156613054</v>
      </c>
      <c r="AJ22" s="14">
        <v>111.11463444954612</v>
      </c>
    </row>
    <row r="23" spans="1:36" x14ac:dyDescent="0.35">
      <c r="A23" s="32">
        <v>45839</v>
      </c>
      <c r="B23" s="12">
        <v>120.06111735857729</v>
      </c>
      <c r="C23" s="13">
        <v>118.71600012758957</v>
      </c>
      <c r="D23" s="13">
        <v>135.45227357317685</v>
      </c>
      <c r="E23" s="13">
        <v>116.39787549147754</v>
      </c>
      <c r="F23" s="13">
        <v>117.35242399805605</v>
      </c>
      <c r="G23" s="13">
        <v>118.92438722727765</v>
      </c>
      <c r="H23" s="13">
        <v>114.01477853526308</v>
      </c>
      <c r="I23" s="13">
        <v>109.86485572607553</v>
      </c>
      <c r="J23" s="13">
        <v>115.66570308020074</v>
      </c>
      <c r="K23" s="13">
        <v>115.45095901465501</v>
      </c>
      <c r="L23" s="13">
        <v>117.91966163562783</v>
      </c>
      <c r="M23" s="13">
        <v>124.54983077511986</v>
      </c>
      <c r="N23" s="13">
        <v>120.76387172434949</v>
      </c>
      <c r="O23" s="13">
        <v>122.18706610030785</v>
      </c>
      <c r="P23" s="13">
        <v>121.46437809220505</v>
      </c>
      <c r="Q23" s="13">
        <v>110.84809754396106</v>
      </c>
      <c r="R23" s="13">
        <v>116.494932405303</v>
      </c>
      <c r="S23" s="13">
        <v>118.43128766914558</v>
      </c>
      <c r="T23" s="13">
        <v>109.89987378236394</v>
      </c>
      <c r="U23" s="13">
        <v>115.62011299399725</v>
      </c>
      <c r="V23" s="13">
        <v>118.40873472074016</v>
      </c>
      <c r="W23" s="13">
        <v>131.67840504975575</v>
      </c>
      <c r="X23" s="13">
        <v>117.56117571947794</v>
      </c>
      <c r="Y23" s="13">
        <v>117.42642345099775</v>
      </c>
      <c r="Z23" s="13">
        <v>117.37330114602426</v>
      </c>
      <c r="AA23" s="13">
        <v>114.0715619519367</v>
      </c>
      <c r="AB23" s="14">
        <v>122.93539406019094</v>
      </c>
      <c r="AC23" s="13">
        <v>113.55586968378201</v>
      </c>
      <c r="AD23" s="13">
        <v>114.8616435089</v>
      </c>
      <c r="AE23" s="13">
        <v>113.092990222765</v>
      </c>
      <c r="AF23" s="14">
        <v>120.411469935048</v>
      </c>
      <c r="AG23" s="13">
        <v>116.51487688599835</v>
      </c>
      <c r="AH23" s="13">
        <v>107.5767333455467</v>
      </c>
      <c r="AI23" s="14">
        <v>103.90488026886204</v>
      </c>
      <c r="AJ23" s="14">
        <v>116.20566232566118</v>
      </c>
    </row>
    <row r="24" spans="1:36" x14ac:dyDescent="0.35">
      <c r="A24" s="32">
        <v>45870</v>
      </c>
      <c r="B24" s="12">
        <v>120.71596313594455</v>
      </c>
      <c r="C24" s="13">
        <v>107.14018243037056</v>
      </c>
      <c r="D24" s="13">
        <v>126.78099156992069</v>
      </c>
      <c r="E24" s="13">
        <v>114.52892656177627</v>
      </c>
      <c r="F24" s="13">
        <v>109.96015189787542</v>
      </c>
      <c r="G24" s="13">
        <v>112.18223464485682</v>
      </c>
      <c r="H24" s="13">
        <v>106.73292312592095</v>
      </c>
      <c r="I24" s="13">
        <v>103.68747431306065</v>
      </c>
      <c r="J24" s="13">
        <v>113.35214272664736</v>
      </c>
      <c r="K24" s="13">
        <v>115.28379026587751</v>
      </c>
      <c r="L24" s="13">
        <v>111.96574935464152</v>
      </c>
      <c r="M24" s="13">
        <v>134.11264480739376</v>
      </c>
      <c r="N24" s="13">
        <v>118.19105901041871</v>
      </c>
      <c r="O24" s="13">
        <v>117.97841837029492</v>
      </c>
      <c r="P24" s="13">
        <v>113.61701906993065</v>
      </c>
      <c r="Q24" s="13">
        <v>105.34902668663591</v>
      </c>
      <c r="R24" s="13">
        <v>114.76638963422805</v>
      </c>
      <c r="S24" s="13">
        <v>116.48247713768991</v>
      </c>
      <c r="T24" s="13">
        <v>103.00528224544463</v>
      </c>
      <c r="U24" s="13">
        <v>113.06400855550453</v>
      </c>
      <c r="V24" s="13">
        <v>112.64319660685051</v>
      </c>
      <c r="W24" s="13">
        <v>125.16692803254973</v>
      </c>
      <c r="X24" s="13">
        <v>115.18766552828168</v>
      </c>
      <c r="Y24" s="13">
        <v>115.49067138934788</v>
      </c>
      <c r="Z24" s="13">
        <v>116.21671201175855</v>
      </c>
      <c r="AA24" s="13">
        <v>109.66483384029078</v>
      </c>
      <c r="AB24" s="14">
        <v>118.9591117090532</v>
      </c>
      <c r="AC24" s="13">
        <v>112.15119708825399</v>
      </c>
      <c r="AD24" s="13">
        <v>113.392266592575</v>
      </c>
      <c r="AE24" s="13">
        <v>107.597319310318</v>
      </c>
      <c r="AF24" s="14">
        <v>116.439315282766</v>
      </c>
      <c r="AG24" s="13">
        <v>111.893953360428</v>
      </c>
      <c r="AH24" s="13">
        <v>118.43210961549737</v>
      </c>
      <c r="AI24" s="14">
        <v>107.61604218920351</v>
      </c>
      <c r="AJ24" s="14">
        <v>111.99090855133909</v>
      </c>
    </row>
    <row r="25" spans="1:36" x14ac:dyDescent="0.35">
      <c r="A25" s="32">
        <v>45901</v>
      </c>
      <c r="B25" s="12">
        <v>113.4320318048408</v>
      </c>
      <c r="C25" s="13">
        <v>110.46646785775683</v>
      </c>
      <c r="D25" s="13">
        <v>119.43105154426658</v>
      </c>
      <c r="E25" s="13">
        <v>115.14917360865564</v>
      </c>
      <c r="F25" s="13">
        <v>116.0063508021919</v>
      </c>
      <c r="G25" s="13">
        <v>109.24409862544951</v>
      </c>
      <c r="H25" s="13">
        <v>113.4550524300673</v>
      </c>
      <c r="I25" s="13">
        <v>102.18282501282836</v>
      </c>
      <c r="J25" s="13">
        <v>116.80498262158692</v>
      </c>
      <c r="K25" s="13">
        <v>109.24432067846101</v>
      </c>
      <c r="L25" s="13">
        <v>114.55242052559964</v>
      </c>
      <c r="M25" s="13">
        <v>136.83502543518645</v>
      </c>
      <c r="N25" s="13">
        <v>121.57832379797469</v>
      </c>
      <c r="O25" s="13">
        <v>119.34130744285747</v>
      </c>
      <c r="P25" s="13">
        <v>113.85803558402424</v>
      </c>
      <c r="Q25" s="13">
        <v>106.00217892392936</v>
      </c>
      <c r="R25" s="13">
        <v>109.80300607992402</v>
      </c>
      <c r="S25" s="13">
        <v>117.88098901996315</v>
      </c>
      <c r="T25" s="13">
        <v>105.22559379717511</v>
      </c>
      <c r="U25" s="13">
        <v>119.14564987446543</v>
      </c>
      <c r="V25" s="13">
        <v>114.45282114301558</v>
      </c>
      <c r="W25" s="13">
        <v>135.00457837070559</v>
      </c>
      <c r="X25" s="13">
        <v>118.72959387641625</v>
      </c>
      <c r="Y25" s="13">
        <v>116.70110678667022</v>
      </c>
      <c r="Z25" s="13">
        <v>114.78539228630393</v>
      </c>
      <c r="AA25" s="13">
        <v>125.39044107702213</v>
      </c>
      <c r="AB25" s="14">
        <v>118.77834192331795</v>
      </c>
      <c r="AC25" s="13">
        <v>118.310831116503</v>
      </c>
      <c r="AD25" s="13">
        <v>116.40994779974601</v>
      </c>
      <c r="AE25" s="13">
        <v>112.066805080815</v>
      </c>
      <c r="AF25" s="14">
        <v>124.511164580459</v>
      </c>
      <c r="AG25" s="13">
        <v>117.90787860293275</v>
      </c>
      <c r="AH25" s="13">
        <v>110.74708829922766</v>
      </c>
      <c r="AI25" s="14">
        <v>106.03812210411677</v>
      </c>
      <c r="AJ25" s="14">
        <v>117.6432364281418</v>
      </c>
    </row>
    <row r="26" spans="1:36" x14ac:dyDescent="0.35">
      <c r="A26" s="32">
        <v>45931</v>
      </c>
      <c r="B26" s="12">
        <v>125.06292071514169</v>
      </c>
      <c r="C26" s="13">
        <v>122.39630285089227</v>
      </c>
      <c r="D26" s="13">
        <v>134.39618405422786</v>
      </c>
      <c r="E26" s="13">
        <v>127.34750529404739</v>
      </c>
      <c r="F26" s="13">
        <v>120.47230818316621</v>
      </c>
      <c r="G26" s="13">
        <v>119.84852927015839</v>
      </c>
      <c r="H26" s="13">
        <v>120.5288348451693</v>
      </c>
      <c r="I26" s="13">
        <v>113.45474366679589</v>
      </c>
      <c r="J26" s="13">
        <v>123.605317339246</v>
      </c>
      <c r="K26" s="13">
        <v>123.03622515817611</v>
      </c>
      <c r="L26" s="13">
        <v>124.44228391089851</v>
      </c>
      <c r="M26" s="13">
        <v>147.71398796374396</v>
      </c>
      <c r="N26" s="13">
        <v>131.61858087423198</v>
      </c>
      <c r="O26" s="13">
        <v>124.86701792870667</v>
      </c>
      <c r="P26" s="13">
        <v>123.91643710071638</v>
      </c>
      <c r="Q26" s="13">
        <v>115.28955749720883</v>
      </c>
      <c r="R26" s="13">
        <v>119.08925936030708</v>
      </c>
      <c r="S26" s="13">
        <v>127.12118593471666</v>
      </c>
      <c r="T26" s="13">
        <v>122.19616968465718</v>
      </c>
      <c r="U26" s="13">
        <v>124.28351963844058</v>
      </c>
      <c r="V26" s="13">
        <v>117.15035550386688</v>
      </c>
      <c r="W26" s="13">
        <v>134.3466695340463</v>
      </c>
      <c r="X26" s="13">
        <v>128.38041946497231</v>
      </c>
      <c r="Y26" s="13">
        <v>125.52262719572069</v>
      </c>
      <c r="Z26" s="13">
        <v>127.36934527905947</v>
      </c>
      <c r="AA26" s="13">
        <v>132.08181889541348</v>
      </c>
      <c r="AB26" s="14">
        <v>131.20554559910548</v>
      </c>
      <c r="AC26" s="13">
        <v>130.02014625513399</v>
      </c>
      <c r="AD26" s="13">
        <v>123.548080540345</v>
      </c>
      <c r="AE26" s="13">
        <v>119.360451392599</v>
      </c>
      <c r="AF26" s="14">
        <v>136.53735991582701</v>
      </c>
      <c r="AG26" s="13">
        <v>127.23396928482028</v>
      </c>
      <c r="AH26" s="13">
        <v>114.66034361666723</v>
      </c>
      <c r="AI26" s="14">
        <v>109.35514457293689</v>
      </c>
      <c r="AJ26" s="14">
        <v>126.79764674589431</v>
      </c>
    </row>
    <row r="27" spans="1:36" x14ac:dyDescent="0.35">
      <c r="A27" s="32">
        <v>45962</v>
      </c>
      <c r="B27" s="12">
        <v>104.62726036595879</v>
      </c>
      <c r="C27" s="13">
        <v>104.7451639468589</v>
      </c>
      <c r="D27" s="13">
        <v>115.19177785995491</v>
      </c>
      <c r="E27" s="13">
        <v>107.05055512888978</v>
      </c>
      <c r="F27" s="13">
        <v>105.35696636140226</v>
      </c>
      <c r="G27" s="13">
        <v>106.71083876077316</v>
      </c>
      <c r="H27" s="13">
        <v>134.73500386470383</v>
      </c>
      <c r="I27" s="13">
        <v>105.15280724510221</v>
      </c>
      <c r="J27" s="13">
        <v>107.69004358886392</v>
      </c>
      <c r="K27" s="13">
        <v>104.5323577040224</v>
      </c>
      <c r="L27" s="13">
        <v>106.98809814821448</v>
      </c>
      <c r="M27" s="13">
        <v>125.79845716318727</v>
      </c>
      <c r="N27" s="13">
        <v>114.15887418805499</v>
      </c>
      <c r="O27" s="13">
        <v>107.92496844411107</v>
      </c>
      <c r="P27" s="13">
        <v>104.90303531564706</v>
      </c>
      <c r="Q27" s="13">
        <v>99.348940866887915</v>
      </c>
      <c r="R27" s="13">
        <v>104.45136613939101</v>
      </c>
      <c r="S27" s="13">
        <v>110.58340295226039</v>
      </c>
      <c r="T27" s="13">
        <v>98.731988288285294</v>
      </c>
      <c r="U27" s="13">
        <v>99.377577308658459</v>
      </c>
      <c r="V27" s="13">
        <v>100.07529211236199</v>
      </c>
      <c r="W27" s="13">
        <v>120.21499306367485</v>
      </c>
      <c r="X27" s="13">
        <v>111.16067644307293</v>
      </c>
      <c r="Y27" s="13">
        <v>108.9821250867341</v>
      </c>
      <c r="Z27" s="13">
        <v>106.45833900092737</v>
      </c>
      <c r="AA27" s="13">
        <v>106.41619419380804</v>
      </c>
      <c r="AB27" s="14">
        <v>110.5968272182302</v>
      </c>
      <c r="AC27" s="13">
        <v>111.835090101622</v>
      </c>
      <c r="AD27" s="13">
        <v>105.093827682609</v>
      </c>
      <c r="AE27" s="13">
        <v>103.14822220088</v>
      </c>
      <c r="AF27" s="14">
        <v>113.645939354847</v>
      </c>
      <c r="AG27" s="13">
        <v>107.60833376434211</v>
      </c>
      <c r="AH27" s="13">
        <v>109.95734805485471</v>
      </c>
      <c r="AI27" s="14">
        <v>104.13839220656777</v>
      </c>
      <c r="AJ27" s="14">
        <v>107.62466639710038</v>
      </c>
    </row>
    <row r="28" spans="1:36" ht="15" thickBot="1" x14ac:dyDescent="0.4">
      <c r="A28" s="33">
        <v>45992</v>
      </c>
      <c r="B28" s="16">
        <v>101.51417737437711</v>
      </c>
      <c r="C28" s="17">
        <v>103.46654787783879</v>
      </c>
      <c r="D28" s="17">
        <v>104.36232025704824</v>
      </c>
      <c r="E28" s="17">
        <v>98.202353416266405</v>
      </c>
      <c r="F28" s="17">
        <v>100.8595270942362</v>
      </c>
      <c r="G28" s="17">
        <v>100.75800469908398</v>
      </c>
      <c r="H28" s="17">
        <v>119.29716148185447</v>
      </c>
      <c r="I28" s="17">
        <v>93.336718752803989</v>
      </c>
      <c r="J28" s="17">
        <v>103.77611417452879</v>
      </c>
      <c r="K28" s="17">
        <v>101.56396016874373</v>
      </c>
      <c r="L28" s="17">
        <v>102.27907120551771</v>
      </c>
      <c r="M28" s="17">
        <v>126.874326760561</v>
      </c>
      <c r="N28" s="17">
        <v>111.25134904377498</v>
      </c>
      <c r="O28" s="17">
        <v>102.00942508322497</v>
      </c>
      <c r="P28" s="17">
        <v>130.369158572564</v>
      </c>
      <c r="Q28" s="17">
        <v>98.386270753224807</v>
      </c>
      <c r="R28" s="17">
        <v>106.92979311874447</v>
      </c>
      <c r="S28" s="17">
        <v>104.31076365134561</v>
      </c>
      <c r="T28" s="17">
        <v>92.979263905001446</v>
      </c>
      <c r="U28" s="17">
        <v>101.85687567292099</v>
      </c>
      <c r="V28" s="17">
        <v>99.866067373732264</v>
      </c>
      <c r="W28" s="17">
        <v>115.37039394849329</v>
      </c>
      <c r="X28" s="17">
        <v>107.17898948055044</v>
      </c>
      <c r="Y28" s="17">
        <v>105.29128994512863</v>
      </c>
      <c r="Z28" s="17">
        <v>104.36216288615346</v>
      </c>
      <c r="AA28" s="17">
        <v>100.18086529945869</v>
      </c>
      <c r="AB28" s="18">
        <v>111.07044884368997</v>
      </c>
      <c r="AC28" s="17">
        <v>108.14420711685899</v>
      </c>
      <c r="AD28" s="17">
        <v>100.49999631180501</v>
      </c>
      <c r="AE28" s="17">
        <v>94.940131201254999</v>
      </c>
      <c r="AF28" s="18">
        <v>112.542184155852</v>
      </c>
      <c r="AG28" s="17">
        <v>102.83894217998521</v>
      </c>
      <c r="AH28" s="17">
        <v>100.01302786219179</v>
      </c>
      <c r="AI28" s="18">
        <v>104.23724080953795</v>
      </c>
      <c r="AJ28" s="18">
        <v>102.79272256884731</v>
      </c>
    </row>
    <row r="29" spans="1:36" x14ac:dyDescent="0.35">
      <c r="A29" s="31">
        <v>46023</v>
      </c>
      <c r="B29" s="8">
        <v>112.07098769694079</v>
      </c>
      <c r="C29" s="9">
        <v>115.94085099022988</v>
      </c>
      <c r="D29" s="9">
        <v>122.73175226896151</v>
      </c>
      <c r="E29" s="9">
        <v>113.66292092488254</v>
      </c>
      <c r="F29" s="9">
        <v>111.09028630455049</v>
      </c>
      <c r="G29" s="9">
        <v>115.13004655928896</v>
      </c>
      <c r="H29" s="9">
        <v>108.3574423955891</v>
      </c>
      <c r="I29" s="9">
        <v>106.76934052417883</v>
      </c>
      <c r="J29" s="9">
        <v>117.90537730168712</v>
      </c>
      <c r="K29" s="9">
        <v>118.2001955518754</v>
      </c>
      <c r="L29" s="9">
        <v>117.51721180595698</v>
      </c>
      <c r="M29" s="9">
        <v>139.01532504443747</v>
      </c>
      <c r="N29" s="9">
        <v>130.2369909120564</v>
      </c>
      <c r="O29" s="9">
        <v>116.11807242714714</v>
      </c>
      <c r="P29" s="9">
        <v>135.4711309324818</v>
      </c>
      <c r="Q29" s="9">
        <v>107.78442430891437</v>
      </c>
      <c r="R29" s="9">
        <v>122.50173296997468</v>
      </c>
      <c r="S29" s="9">
        <v>117.97307804745768</v>
      </c>
      <c r="T29" s="9">
        <v>102.8290922910229</v>
      </c>
      <c r="U29" s="9">
        <v>114.0187609901387</v>
      </c>
      <c r="V29" s="9">
        <v>111.90811344153285</v>
      </c>
      <c r="W29" s="9">
        <v>130.6701358181773</v>
      </c>
      <c r="X29" s="9">
        <v>114.70869049814078</v>
      </c>
      <c r="Y29" s="9">
        <v>120.34560575119524</v>
      </c>
      <c r="Z29" s="9">
        <v>117.40616437518246</v>
      </c>
      <c r="AA29" s="9">
        <v>112.32216520895628</v>
      </c>
      <c r="AB29" s="10">
        <v>120.80234363465885</v>
      </c>
      <c r="AC29" s="9">
        <v>119.014280467037</v>
      </c>
      <c r="AD29" s="13">
        <v>113.847389864348</v>
      </c>
      <c r="AE29" s="13">
        <v>107.629822013498</v>
      </c>
      <c r="AF29" s="10">
        <v>123.885816973037</v>
      </c>
      <c r="AG29" s="8">
        <v>115.43285933445449</v>
      </c>
      <c r="AH29" s="9">
        <v>101.7207201136201</v>
      </c>
      <c r="AI29" s="10">
        <v>104.923729796073</v>
      </c>
      <c r="AJ29" s="10">
        <v>115.04306143277614</v>
      </c>
    </row>
    <row r="30" spans="1:36" x14ac:dyDescent="0.35">
      <c r="A30" s="32">
        <v>46054</v>
      </c>
      <c r="B30" s="12">
        <v>117.002974886424</v>
      </c>
      <c r="C30" s="13">
        <v>111.573783805734</v>
      </c>
      <c r="D30" s="13">
        <v>122.484796924725</v>
      </c>
      <c r="E30" s="13">
        <v>111.879055384493</v>
      </c>
      <c r="F30" s="13">
        <v>108.402407246557</v>
      </c>
      <c r="G30" s="13">
        <v>109.981426383851</v>
      </c>
      <c r="H30" s="13">
        <v>110.58888564525201</v>
      </c>
      <c r="I30" s="13">
        <v>100.338625901966</v>
      </c>
      <c r="J30" s="13">
        <v>117.864574525187</v>
      </c>
      <c r="K30" s="13">
        <v>109.349257893482</v>
      </c>
      <c r="L30" s="13">
        <v>114.883541994737</v>
      </c>
      <c r="M30" s="13">
        <v>138.627488625159</v>
      </c>
      <c r="N30" s="13">
        <v>130.63550627217501</v>
      </c>
      <c r="O30" s="13">
        <v>118.902068320227</v>
      </c>
      <c r="P30" s="13">
        <v>124.69270005853301</v>
      </c>
      <c r="Q30" s="13">
        <v>106.50498940940901</v>
      </c>
      <c r="R30" s="13">
        <v>110.964551164065</v>
      </c>
      <c r="S30" s="13">
        <v>118.746935649067</v>
      </c>
      <c r="T30" s="13">
        <v>96.761911827809001</v>
      </c>
      <c r="U30" s="13">
        <v>112.907850719034</v>
      </c>
      <c r="V30" s="13">
        <v>111.38750048432701</v>
      </c>
      <c r="W30" s="13">
        <v>128.535180249908</v>
      </c>
      <c r="X30" s="13">
        <v>112.573829336762</v>
      </c>
      <c r="Y30" s="13">
        <v>116.285569662529</v>
      </c>
      <c r="Z30" s="13">
        <v>113.612350639738</v>
      </c>
      <c r="AA30" s="13">
        <v>110.923136955011</v>
      </c>
      <c r="AB30" s="14">
        <v>121.62846728856501</v>
      </c>
      <c r="AC30" s="13">
        <v>115.54823414178099</v>
      </c>
      <c r="AD30" s="13">
        <v>111.15463864294099</v>
      </c>
      <c r="AE30" s="13">
        <v>105.752013090668</v>
      </c>
      <c r="AF30" s="14">
        <v>121.152838772107</v>
      </c>
      <c r="AG30" s="12">
        <v>112.773275655181</v>
      </c>
      <c r="AH30" s="13">
        <v>107.78236253718499</v>
      </c>
      <c r="AI30" s="14">
        <v>114.525637824645</v>
      </c>
      <c r="AJ30" s="14">
        <v>112.68476454218001</v>
      </c>
    </row>
    <row r="31" spans="1:36" x14ac:dyDescent="0.35">
      <c r="A31" s="32">
        <v>46082</v>
      </c>
      <c r="B31" s="12">
        <v>117.44574867975</v>
      </c>
      <c r="C31" s="13">
        <v>116.02176561357901</v>
      </c>
      <c r="D31" s="13">
        <v>128.808646059804</v>
      </c>
      <c r="E31" s="13">
        <v>114.60665248245699</v>
      </c>
      <c r="F31" s="13">
        <v>115.18736815982101</v>
      </c>
      <c r="G31" s="13">
        <v>112.482750991272</v>
      </c>
      <c r="H31" s="13">
        <v>114.84667606631101</v>
      </c>
      <c r="I31" s="13">
        <v>105.457669818363</v>
      </c>
      <c r="J31" s="13">
        <v>118.40133528429899</v>
      </c>
      <c r="K31" s="13">
        <v>113.675307758637</v>
      </c>
      <c r="L31" s="13">
        <v>117.843702284983</v>
      </c>
      <c r="M31" s="13">
        <v>130.711605600094</v>
      </c>
      <c r="N31" s="13">
        <v>121.728512367455</v>
      </c>
      <c r="O31" s="13">
        <v>118.796457881469</v>
      </c>
      <c r="P31" s="13">
        <v>128.70384068644799</v>
      </c>
      <c r="Q31" s="13">
        <v>109.816641368524</v>
      </c>
      <c r="R31" s="13">
        <v>113.75662119062</v>
      </c>
      <c r="S31" s="13">
        <v>119.283295208882</v>
      </c>
      <c r="T31" s="13">
        <v>103.527365609942</v>
      </c>
      <c r="U31" s="13">
        <v>124.37763392275301</v>
      </c>
      <c r="V31" s="13">
        <v>116.358634584835</v>
      </c>
      <c r="W31" s="13">
        <v>142.47642149274699</v>
      </c>
      <c r="X31" s="13">
        <v>110.70193157303</v>
      </c>
      <c r="Y31" s="13">
        <v>123.39339668425301</v>
      </c>
      <c r="Z31" s="13">
        <v>115.013217722322</v>
      </c>
      <c r="AA31" s="13">
        <v>113.148711173633</v>
      </c>
      <c r="AB31" s="14">
        <v>121.82615679248801</v>
      </c>
      <c r="AC31" s="13">
        <v>121.342786861525</v>
      </c>
      <c r="AD31" s="13">
        <v>112.826128649162</v>
      </c>
      <c r="AE31" s="13">
        <v>109.897928162296</v>
      </c>
      <c r="AF31" s="14">
        <v>122.19180092646501</v>
      </c>
      <c r="AG31" s="12">
        <v>115.478372956876</v>
      </c>
      <c r="AH31" s="13">
        <v>107.381411260626</v>
      </c>
      <c r="AI31" s="14">
        <v>110.508374394277</v>
      </c>
      <c r="AJ31" s="14">
        <v>115.260037738954</v>
      </c>
    </row>
    <row r="32" spans="1:36" x14ac:dyDescent="0.35">
      <c r="A32" s="32">
        <v>46113</v>
      </c>
      <c r="B32" s="12">
        <v>104.707130242057</v>
      </c>
      <c r="C32" s="13">
        <v>106.793669577053</v>
      </c>
      <c r="D32" s="13">
        <v>116.384697572985</v>
      </c>
      <c r="E32" s="13">
        <v>106.666774349089</v>
      </c>
      <c r="F32" s="13">
        <v>106.415889360547</v>
      </c>
      <c r="G32" s="13">
        <v>106.884199828885</v>
      </c>
      <c r="H32" s="13">
        <v>105.421616058984</v>
      </c>
      <c r="I32" s="13">
        <v>96.041721983713003</v>
      </c>
      <c r="J32" s="13">
        <v>110.23684397970599</v>
      </c>
      <c r="K32" s="13">
        <v>105.644495653577</v>
      </c>
      <c r="L32" s="13">
        <v>108.893592517386</v>
      </c>
      <c r="M32" s="13">
        <v>128.02975659814399</v>
      </c>
      <c r="N32" s="13">
        <v>118.37558207692101</v>
      </c>
      <c r="O32" s="13">
        <v>112.391598264004</v>
      </c>
      <c r="P32" s="13">
        <v>118.351855973109</v>
      </c>
      <c r="Q32" s="13">
        <v>104.741664779245</v>
      </c>
      <c r="R32" s="13">
        <v>106.275555370722</v>
      </c>
      <c r="S32" s="13">
        <v>112.933597758457</v>
      </c>
      <c r="T32" s="13">
        <v>91.975419957221007</v>
      </c>
      <c r="U32" s="13">
        <v>106.903725020914</v>
      </c>
      <c r="V32" s="13">
        <v>106.07466520664001</v>
      </c>
      <c r="W32" s="13">
        <v>125.03788707360199</v>
      </c>
      <c r="X32" s="13">
        <v>104.955528801394</v>
      </c>
      <c r="Y32" s="13">
        <v>112.162820257954</v>
      </c>
      <c r="Z32" s="13">
        <v>109.508651255057</v>
      </c>
      <c r="AA32" s="13">
        <v>105.316131903277</v>
      </c>
      <c r="AB32" s="14">
        <v>115.649080226238</v>
      </c>
      <c r="AC32" s="13">
        <v>113.03797147456601</v>
      </c>
      <c r="AD32" s="13">
        <v>105.65216870230201</v>
      </c>
      <c r="AE32" s="13">
        <v>102.31861288173999</v>
      </c>
      <c r="AF32" s="14">
        <v>112.97866273762899</v>
      </c>
      <c r="AG32" s="12">
        <v>107.21988707037301</v>
      </c>
      <c r="AH32" s="13">
        <v>102.44381497128499</v>
      </c>
      <c r="AI32" s="14">
        <v>105.709892986645</v>
      </c>
      <c r="AJ32" s="14">
        <v>107.104699201149</v>
      </c>
    </row>
    <row r="33" spans="1:36" x14ac:dyDescent="0.35">
      <c r="A33" s="32">
        <v>46143</v>
      </c>
      <c r="B33" s="12">
        <v>109.440101931919</v>
      </c>
      <c r="C33" s="13">
        <v>113.46145873543099</v>
      </c>
      <c r="D33" s="13">
        <v>121.17947840277201</v>
      </c>
      <c r="E33" s="13">
        <v>114.38650623567899</v>
      </c>
      <c r="F33" s="13">
        <v>114.15218735466701</v>
      </c>
      <c r="G33" s="13">
        <v>112.433191854654</v>
      </c>
      <c r="H33" s="13">
        <v>110.955458355807</v>
      </c>
      <c r="I33" s="13">
        <v>103.25405127838</v>
      </c>
      <c r="J33" s="13">
        <v>114.713643353471</v>
      </c>
      <c r="K33" s="13">
        <v>113.94162093819</v>
      </c>
      <c r="L33" s="13">
        <v>114.84845569867301</v>
      </c>
      <c r="M33" s="13">
        <v>130.422026386586</v>
      </c>
      <c r="N33" s="13">
        <v>118.317968481769</v>
      </c>
      <c r="O33" s="13">
        <v>115.614608818672</v>
      </c>
      <c r="P33" s="13">
        <v>138.10572628073501</v>
      </c>
      <c r="Q33" s="13">
        <v>112.231015930792</v>
      </c>
      <c r="R33" s="13">
        <v>115.80876866858701</v>
      </c>
      <c r="S33" s="13">
        <v>117.42528924187</v>
      </c>
      <c r="T33" s="13">
        <v>100.96547558279001</v>
      </c>
      <c r="U33" s="13">
        <v>112.855086855438</v>
      </c>
      <c r="V33" s="13">
        <v>111.793915491146</v>
      </c>
      <c r="W33" s="13">
        <v>130.24716145667</v>
      </c>
      <c r="X33" s="13">
        <v>109.20279568929899</v>
      </c>
      <c r="Y33" s="13">
        <v>114.23017971768</v>
      </c>
      <c r="Z33" s="13">
        <v>117.022328093974</v>
      </c>
      <c r="AA33" s="13">
        <v>114.425065915904</v>
      </c>
      <c r="AB33" s="14">
        <v>117.878742348562</v>
      </c>
      <c r="AC33" s="13">
        <v>119.674358108421</v>
      </c>
      <c r="AD33" s="13">
        <v>110.19756606868</v>
      </c>
      <c r="AE33" s="13">
        <v>106.85265484989399</v>
      </c>
      <c r="AF33" s="14">
        <v>122.61844166985</v>
      </c>
      <c r="AG33" s="12">
        <v>113.837845899106</v>
      </c>
      <c r="AH33" s="13">
        <v>106.748403547121</v>
      </c>
      <c r="AI33" s="14">
        <v>108.756389742255</v>
      </c>
      <c r="AJ33" s="14">
        <v>113.639681612136</v>
      </c>
    </row>
    <row r="34" spans="1:36" x14ac:dyDescent="0.35">
      <c r="A34" s="32">
        <v>46174</v>
      </c>
      <c r="B34" s="12">
        <v>114.735751073662</v>
      </c>
      <c r="C34" s="13">
        <v>115.780134173447</v>
      </c>
      <c r="D34" s="13">
        <v>123.909155334658</v>
      </c>
      <c r="E34" s="13">
        <v>117.427271907632</v>
      </c>
      <c r="F34" s="13">
        <v>110.74742400919099</v>
      </c>
      <c r="G34" s="13">
        <v>118.60367518288101</v>
      </c>
      <c r="H34" s="13">
        <v>116.611036188406</v>
      </c>
      <c r="I34" s="13">
        <v>107.659569033617</v>
      </c>
      <c r="J34" s="13">
        <v>119.37098016096</v>
      </c>
      <c r="K34" s="13">
        <v>120.54703795688999</v>
      </c>
      <c r="L34" s="13">
        <v>121.85049688700001</v>
      </c>
      <c r="M34" s="13">
        <v>138.59236510513</v>
      </c>
      <c r="N34" s="13">
        <v>127.11025994960001</v>
      </c>
      <c r="O34" s="13">
        <v>119.52767163726</v>
      </c>
      <c r="P34" s="13">
        <v>119.912465255398</v>
      </c>
      <c r="Q34" s="13">
        <v>116.048749674844</v>
      </c>
      <c r="R34" s="13">
        <v>120.778520878828</v>
      </c>
      <c r="S34" s="13">
        <v>121.77881217308</v>
      </c>
      <c r="T34" s="13">
        <v>107.44303636263</v>
      </c>
      <c r="U34" s="13">
        <v>115.911257763427</v>
      </c>
      <c r="V34" s="13">
        <v>117.826595710192</v>
      </c>
      <c r="W34" s="13">
        <v>130.64997342250001</v>
      </c>
      <c r="X34" s="13">
        <v>115.28669940282199</v>
      </c>
      <c r="Y34" s="13">
        <v>118.427596792195</v>
      </c>
      <c r="Z34" s="13">
        <v>114.187701487672</v>
      </c>
      <c r="AA34" s="13">
        <v>120.007790903394</v>
      </c>
      <c r="AB34" s="14">
        <v>123.39457422803299</v>
      </c>
      <c r="AC34" s="13">
        <v>122.44899808071401</v>
      </c>
      <c r="AD34" s="13">
        <v>114.075668024157</v>
      </c>
      <c r="AE34" s="13">
        <v>108.809287628123</v>
      </c>
      <c r="AF34" s="14">
        <v>131.10309532800301</v>
      </c>
      <c r="AG34" s="12">
        <v>118.744186928914</v>
      </c>
      <c r="AH34" s="13">
        <v>108.05462053133699</v>
      </c>
      <c r="AI34" s="14">
        <v>109.752019923039</v>
      </c>
      <c r="AJ34" s="14">
        <v>118.432659407717</v>
      </c>
    </row>
    <row r="35" spans="1:36" x14ac:dyDescent="0.35">
      <c r="A35" s="32">
        <v>46204</v>
      </c>
      <c r="B35" s="12">
        <v>139.58837247468699</v>
      </c>
      <c r="C35" s="13">
        <v>147.03704708900801</v>
      </c>
      <c r="D35" s="13">
        <v>146.50401426031499</v>
      </c>
      <c r="E35" s="13">
        <v>142.17845120997799</v>
      </c>
      <c r="F35" s="13">
        <v>139.24393201786501</v>
      </c>
      <c r="G35" s="13">
        <v>138.354389566012</v>
      </c>
      <c r="H35" s="13">
        <v>139.63649275117501</v>
      </c>
      <c r="I35" s="13">
        <v>125.73524551282</v>
      </c>
      <c r="J35" s="13">
        <v>139.43190715668501</v>
      </c>
      <c r="K35" s="13">
        <v>132.140076382687</v>
      </c>
      <c r="L35" s="13">
        <v>142.952242472374</v>
      </c>
      <c r="M35" s="13">
        <v>158.168808583615</v>
      </c>
      <c r="N35" s="13">
        <v>142.64228903729199</v>
      </c>
      <c r="O35" s="13">
        <v>139.28038253412899</v>
      </c>
      <c r="P35" s="13">
        <v>149.09404451481501</v>
      </c>
      <c r="Q35" s="13">
        <v>138.51214334679</v>
      </c>
      <c r="R35" s="13">
        <v>136.46422934088099</v>
      </c>
      <c r="S35" s="13">
        <v>139.84358436026099</v>
      </c>
      <c r="T35" s="13">
        <v>127.94729607024</v>
      </c>
      <c r="U35" s="13">
        <v>139.82645921059401</v>
      </c>
      <c r="V35" s="13">
        <v>135.16337447290499</v>
      </c>
      <c r="W35" s="13">
        <v>161.51119867367299</v>
      </c>
      <c r="X35" s="13">
        <v>130.95359234456899</v>
      </c>
      <c r="Y35" s="13">
        <v>133.905456093276</v>
      </c>
      <c r="Z35" s="13">
        <v>136.82532281509199</v>
      </c>
      <c r="AA35" s="13">
        <v>134.344613891226</v>
      </c>
      <c r="AB35" s="14">
        <v>136.05396894677699</v>
      </c>
      <c r="AC35" s="13">
        <v>128.72939319002401</v>
      </c>
      <c r="AD35" s="13">
        <v>128.82603668345499</v>
      </c>
      <c r="AE35" s="13">
        <v>123.34876710897299</v>
      </c>
      <c r="AF35" s="14">
        <v>155.33485848756001</v>
      </c>
      <c r="AG35" s="12">
        <v>137.40902530986699</v>
      </c>
      <c r="AH35" s="13">
        <v>112.10533014598001</v>
      </c>
      <c r="AI35" s="14">
        <v>112.776842549599</v>
      </c>
      <c r="AJ35" s="14">
        <v>136.639566053203</v>
      </c>
    </row>
    <row r="36" spans="1:36" x14ac:dyDescent="0.35">
      <c r="A36" s="32">
        <v>46235</v>
      </c>
      <c r="B36" s="12">
        <v>111.350272120707</v>
      </c>
      <c r="C36" s="13">
        <v>118.94571643480801</v>
      </c>
      <c r="D36" s="13">
        <v>121.649816352855</v>
      </c>
      <c r="E36" s="13">
        <v>116.132134530375</v>
      </c>
      <c r="F36" s="13">
        <v>117.74260799280501</v>
      </c>
      <c r="G36" s="13">
        <v>115.175573353464</v>
      </c>
      <c r="H36" s="13">
        <v>116.30125421471701</v>
      </c>
      <c r="I36" s="13">
        <v>106.434831579502</v>
      </c>
      <c r="J36" s="13">
        <v>119.15130354681099</v>
      </c>
      <c r="K36" s="13">
        <v>115.351127824038</v>
      </c>
      <c r="L36" s="13">
        <v>119.285004316475</v>
      </c>
      <c r="M36" s="13">
        <v>135.49644510209799</v>
      </c>
      <c r="N36" s="13">
        <v>123.50955460843799</v>
      </c>
      <c r="O36" s="13">
        <v>118.36141051750801</v>
      </c>
      <c r="P36" s="13">
        <v>120.915667442242</v>
      </c>
      <c r="Q36" s="13">
        <v>117.70367392316901</v>
      </c>
      <c r="R36" s="13">
        <v>114.73956117016201</v>
      </c>
      <c r="S36" s="13">
        <v>124.991410502775</v>
      </c>
      <c r="T36" s="13">
        <v>102.803170819629</v>
      </c>
      <c r="U36" s="13">
        <v>121.24378039210001</v>
      </c>
      <c r="V36" s="13">
        <v>115.34746913383</v>
      </c>
      <c r="W36" s="13">
        <v>132.15934195490999</v>
      </c>
      <c r="X36" s="13">
        <v>112.62785286230501</v>
      </c>
      <c r="Y36" s="13">
        <v>121.32645030788601</v>
      </c>
      <c r="Z36" s="13">
        <v>127.21419343059399</v>
      </c>
      <c r="AA36" s="13">
        <v>119.222910212748</v>
      </c>
      <c r="AB36" s="14">
        <v>120.402936511447</v>
      </c>
      <c r="AC36" s="13">
        <v>127.586443515827</v>
      </c>
      <c r="AD36" s="13">
        <v>113.756041456029</v>
      </c>
      <c r="AE36" s="13">
        <v>108.983096844351</v>
      </c>
      <c r="AF36" s="14">
        <v>129.630579461341</v>
      </c>
      <c r="AG36" s="12">
        <v>118.22109633647</v>
      </c>
      <c r="AH36" s="13">
        <v>109.490980629014</v>
      </c>
      <c r="AI36" s="14">
        <v>109.941213656323</v>
      </c>
      <c r="AJ36" s="14">
        <v>117.957714361819</v>
      </c>
    </row>
    <row r="37" spans="1:36" x14ac:dyDescent="0.35">
      <c r="A37" s="32">
        <v>46266</v>
      </c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4"/>
      <c r="AC37" s="13"/>
      <c r="AD37" s="13"/>
      <c r="AE37" s="13"/>
      <c r="AF37" s="14"/>
      <c r="AG37" s="12"/>
      <c r="AH37" s="13"/>
      <c r="AI37" s="14"/>
      <c r="AJ37" s="14"/>
    </row>
    <row r="38" spans="1:36" x14ac:dyDescent="0.35">
      <c r="A38" s="32">
        <v>46296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4"/>
      <c r="AC38" s="13"/>
      <c r="AD38" s="13"/>
      <c r="AE38" s="13"/>
      <c r="AF38" s="14"/>
      <c r="AG38" s="12"/>
      <c r="AH38" s="13"/>
      <c r="AI38" s="14"/>
      <c r="AJ38" s="14"/>
    </row>
    <row r="39" spans="1:36" x14ac:dyDescent="0.35">
      <c r="A39" s="32">
        <v>46327</v>
      </c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4"/>
      <c r="AC39" s="13"/>
      <c r="AD39" s="13"/>
      <c r="AE39" s="13"/>
      <c r="AF39" s="14"/>
      <c r="AG39" s="12"/>
      <c r="AH39" s="13"/>
      <c r="AI39" s="14"/>
      <c r="AJ39" s="14"/>
    </row>
    <row r="40" spans="1:36" ht="15" thickBot="1" x14ac:dyDescent="0.4">
      <c r="A40" s="33">
        <v>46357</v>
      </c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8"/>
      <c r="AC40" s="17"/>
      <c r="AD40" s="17"/>
      <c r="AE40" s="17"/>
      <c r="AF40" s="18"/>
      <c r="AG40" s="16"/>
      <c r="AH40" s="17"/>
      <c r="AI40" s="18"/>
      <c r="AJ40" s="18"/>
    </row>
  </sheetData>
  <mergeCells count="4">
    <mergeCell ref="B3:AB3"/>
    <mergeCell ref="AG3:AI3"/>
    <mergeCell ref="A2:AJ2"/>
    <mergeCell ref="AC3:AF3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Var. Mensal</vt:lpstr>
      <vt:lpstr>Var. Anual</vt:lpstr>
      <vt:lpstr>Var. Acumulada Anual</vt:lpstr>
      <vt:lpstr>Var. Acumulada em 12 Meses</vt:lpstr>
      <vt:lpstr>Empresas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sqb9610</dc:creator>
  <cp:lastModifiedBy>Moraes, Juliana</cp:lastModifiedBy>
  <dcterms:created xsi:type="dcterms:W3CDTF">2009-03-27T14:10:37Z</dcterms:created>
  <dcterms:modified xsi:type="dcterms:W3CDTF">2026-10-02T00:42:34Z</dcterms:modified>
</cp:coreProperties>
</file>